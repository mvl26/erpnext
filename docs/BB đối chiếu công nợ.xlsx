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u Hà\Desktop\"/>
    </mc:Choice>
  </mc:AlternateContent>
  <xr:revisionPtr revIDLastSave="0" documentId="13_ncr:1_{421498C3-A4B2-4984-9C11-7031D0A9CE46}" xr6:coauthVersionLast="47" xr6:coauthVersionMax="47" xr10:uidLastSave="{00000000-0000-0000-0000-000000000000}"/>
  <bookViews>
    <workbookView xWindow="-120" yWindow="-120" windowWidth="29040" windowHeight="15720" tabRatio="285" xr2:uid="{00000000-000D-0000-FFFF-FFFF00000000}"/>
  </bookViews>
  <sheets>
    <sheet name="NCC 331" sheetId="32" r:id="rId1"/>
    <sheet name="KH 131" sheetId="33" r:id="rId2"/>
  </sheets>
  <externalReferences>
    <externalReference r:id="rId3"/>
  </externalReferences>
  <definedNames>
    <definedName name="atools__C4_C823_1">'[1]1.DM Material SAP Rev.04'!$C$4:$C$849</definedName>
    <definedName name="_xlnm.Print_Area" localSheetId="1">'KH 131'!$A$1:$N$70</definedName>
    <definedName name="_xlnm.Print_Area" localSheetId="0">'NCC 331'!$A$1:$N$70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33" l="1"/>
  <c r="F48" i="33" s="1"/>
  <c r="F43" i="32"/>
  <c r="F48" i="3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<sst xmlns="http://schemas.openxmlformats.org/spreadsheetml/2006/main" count="192" uniqueCount="64">
  <si>
    <t>Ngày</t>
  </si>
  <si>
    <t>Số:</t>
  </si>
  <si>
    <t>(Ký, đóng dấu và ghi rõ họ tên)</t>
  </si>
  <si>
    <t>I. Bên bán (Bên A)</t>
  </si>
  <si>
    <t>Trụ sở giao dịch</t>
  </si>
  <si>
    <t>1. Đại diện Ông (bà)</t>
  </si>
  <si>
    <t>2. Đại diện Ông (bà)</t>
  </si>
  <si>
    <t>:</t>
  </si>
  <si>
    <t>Chức vụ</t>
  </si>
  <si>
    <t>- Căn cứ vào thực hiện các giao dịch thương mại và mua bán giữa các bên sau đây.</t>
  </si>
  <si>
    <t>II. Bên mua (Bên B)</t>
  </si>
  <si>
    <t>BIÊN BẢN ĐỐI CHIẾU &amp; XÁC NHẬN CÔNG NỢ</t>
  </si>
  <si>
    <t>[i] SỐ DƯ ĐẦU KỲ</t>
  </si>
  <si>
    <t>Đồng</t>
  </si>
  <si>
    <t>[ii] SỐ PHÁT SINH TRONG KỲ</t>
  </si>
  <si>
    <t>(1) Giá trị gốc</t>
  </si>
  <si>
    <t>Gồm:</t>
  </si>
  <si>
    <t>(2) Lãi quá hạn</t>
  </si>
  <si>
    <t>ĐẠI DIỆN BÊN B (BÊN MUA)</t>
  </si>
  <si>
    <t>[iv] KẾT LUẬN:</t>
  </si>
  <si>
    <t>ĐẠI DIỆN BÊN A (BÊN BÁN)</t>
  </si>
  <si>
    <t>Biên bản này được lập thành 02 bản, mỗi bên giữ 01 bản và có giá trị pháp lý như nhau./.</t>
  </si>
  <si>
    <t xml:space="preserve">Theo địa chỉ VPGD của Công ty chúng tôi: </t>
  </si>
  <si>
    <t>[iii] SỐ DƯ CUỐI KỲ</t>
  </si>
  <si>
    <t>01.SL</t>
  </si>
  <si>
    <t xml:space="preserve">Tel: (+84)                                       Fax: (+84) </t>
  </si>
  <si>
    <t xml:space="preserve">: </t>
  </si>
  <si>
    <t xml:space="preserve"> </t>
  </si>
  <si>
    <t>1. Phát sinh có trong kỳ</t>
  </si>
  <si>
    <t>2. Phát sinh nợ trong kỳ</t>
  </si>
  <si>
    <t>Địa chỉ</t>
  </si>
  <si>
    <t>- Căn cứ vào Hợp đồng nguyên tắc số …..... ngày …...... ký giữa CÔNG TY TNHH MIYANO VIỆT NAM</t>
  </si>
  <si>
    <t>và Công ty….......</t>
  </si>
  <si>
    <t>Hôm nay, ngày …. tháng ….. năm 2026, tại Hà Nội. Chúng tôi gồm có:</t>
  </si>
  <si>
    <t>: CÔNG TY …..........................</t>
  </si>
  <si>
    <t>MST: …...............</t>
  </si>
  <si>
    <t>: …................................................................................................................</t>
  </si>
  <si>
    <t>: CÔNG TY TNHH MIYANO VIỆT NAM</t>
  </si>
  <si>
    <t>MST: 0109529507</t>
  </si>
  <si>
    <t>: Số 20, Khu C17, ngõ 264/63, đường Ngọc Thụy, Phường Bồ Đề, Thành phố Hà Nội, Việt Nam</t>
  </si>
  <si>
    <t>Trụ sở: số 20, Khu C17, ngõ 264/63, đường Ngọc Thụy, Phường Bồ Đề, Thành phố Hà Nội, Việt Nam</t>
  </si>
  <si>
    <t>VPGD: LK21. N03 Ngõ 1 Phố Lâm Hạ, Phường Bồ Đề, Thành phố Hà Nội, Việt Nam</t>
  </si>
  <si>
    <t>Tel: 0988806848</t>
  </si>
  <si>
    <t>Mã số thuế: 0109529507</t>
  </si>
  <si>
    <t>Email: mvl.invoices2024@gmail.com</t>
  </si>
  <si>
    <t xml:space="preserve"> CÔNG TY TNHH MIYANO VIỆT NAM</t>
  </si>
  <si>
    <r>
      <t xml:space="preserve">: Bà </t>
    </r>
    <r>
      <rPr>
        <b/>
        <sz val="12"/>
        <color theme="1"/>
        <rFont val="Times New Roman"/>
        <family val="1"/>
      </rPr>
      <t>Đoàn Ngọc Anh</t>
    </r>
  </si>
  <si>
    <r>
      <t xml:space="preserve">: </t>
    </r>
    <r>
      <rPr>
        <b/>
        <sz val="12"/>
        <color theme="1"/>
        <rFont val="Times New Roman"/>
        <family val="1"/>
      </rPr>
      <t>Giám đốc vận hành</t>
    </r>
  </si>
  <si>
    <t>Hai bên cùng nhau thống nhất đối chiếu và xác nhận công nợ từ ngày 01/08/2026 đến ngày 31/08/2026, nội dung như sau:</t>
  </si>
  <si>
    <t>….... là:</t>
  </si>
  <si>
    <t>….. triệu, ….. trăm ….. nghìn,</t>
  </si>
  <si>
    <t xml:space="preserve"> ….. trăm sáu mươi đồng ./.</t>
  </si>
  <si>
    <t>CÔNG TY TNHH MIYANO VIỆT NAM</t>
  </si>
  <si>
    <t>LK21. N03 Ngõ 1 Phố Lâm Hạ, Phường Bồ Đề, Thành phố Hà Nội, Việt Nam</t>
  </si>
  <si>
    <t>Liên hệ: Ms Hà 0949.723.444</t>
  </si>
  <si>
    <t>Rất mong Quý công ty ký, đóng dấu xác nhận công nợ và gửi về CÔNG TY TNHH MIYANO VIỆT NAM trước ngày 10/09/2026.</t>
  </si>
  <si>
    <t>MVL-…./2026</t>
  </si>
  <si>
    <r>
      <t xml:space="preserve">Tính đến hết ngày 31/08/2026, CÔNG TY TNHH MIYANO VIỆT NAM đã thanh toán trước cho/ </t>
    </r>
    <r>
      <rPr>
        <sz val="12"/>
        <color rgb="FFFF0000"/>
        <rFont val="Times New Roman"/>
        <family val="1"/>
      </rPr>
      <t>còn nợ tiền mua hàng</t>
    </r>
    <r>
      <rPr>
        <sz val="12"/>
        <color theme="1"/>
        <rFont val="Times New Roman"/>
        <family val="1"/>
      </rPr>
      <t xml:space="preserve"> Công ty TNHH …..</t>
    </r>
  </si>
  <si>
    <t>Tổng số tiền bằng số</t>
  </si>
  <si>
    <t>Tổng số tiền bằng chữ</t>
  </si>
  <si>
    <r>
      <t>Dư nợ/</t>
    </r>
    <r>
      <rPr>
        <b/>
        <sz val="12"/>
        <color rgb="FFFF0000"/>
        <rFont val="Times New Roman"/>
        <family val="1"/>
      </rPr>
      <t>có</t>
    </r>
    <r>
      <rPr>
        <b/>
        <sz val="12"/>
        <color theme="1"/>
        <rFont val="Times New Roman"/>
        <family val="1"/>
      </rPr>
      <t xml:space="preserve"> đầu kỳ</t>
    </r>
  </si>
  <si>
    <r>
      <t>Dư nợ/</t>
    </r>
    <r>
      <rPr>
        <b/>
        <sz val="12"/>
        <color rgb="FFFF0000"/>
        <rFont val="Times New Roman"/>
        <family val="1"/>
      </rPr>
      <t>có</t>
    </r>
    <r>
      <rPr>
        <b/>
        <sz val="12"/>
        <color theme="1"/>
        <rFont val="Times New Roman"/>
        <family val="1"/>
      </rPr>
      <t xml:space="preserve"> cuối kỳ</t>
    </r>
  </si>
  <si>
    <t>: …............................</t>
  </si>
  <si>
    <r>
      <t xml:space="preserve">Tính đến hết ngày 31/08/2026, CÔNG TY .......... đã thanh toán trước cho/ </t>
    </r>
    <r>
      <rPr>
        <sz val="12"/>
        <color rgb="FFFF0000"/>
        <rFont val="Times New Roman"/>
        <family val="1"/>
      </rPr>
      <t>còn nợ tiền mua hàng</t>
    </r>
    <r>
      <rPr>
        <sz val="12"/>
        <color theme="1"/>
        <rFont val="Times New Roman"/>
        <family val="1"/>
      </rPr>
      <t xml:space="preserve"> CÔNG TY TNHH MIYANO VIỆT NAM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</si>
</sst>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&quot;?&quot;&quot;?&quot;_);_(@_)"/>
    <numFmt numFmtId="165" formatCode="_-* #,##0.00\ _₫_-;\-* #,##0.00\ _₫_-;_-* &quot;-&quot;??\ _₫_-;_-@_-"/>
    <numFmt numFmtId="166" formatCode="[$-409]mmmm\ d\,\ yyyy;@"/>
    <numFmt numFmtId="167" formatCode="_(* #,##0_);_(* \(#,##0\);_(* &quot;-&quot;?_);_(@_)"/>
    <numFmt numFmtId="168" formatCode="_(* #,##0_);_(* \(#,##0\);_(* &quot;-&quot;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Times New Roman"/>
      <family val="1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2"/>
      <name val="Helv"/>
      <family val="2"/>
    </font>
    <font>
      <sz val="11"/>
      <name val="돋움"/>
      <family val="3"/>
      <charset val="129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ＭＳ ゴシック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  <charset val="163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2"/>
    </font>
    <font>
      <i/>
      <sz val="10"/>
      <color indexed="8"/>
      <name val="Times New Roman"/>
      <family val="1"/>
    </font>
    <font>
      <sz val="12"/>
      <color theme="1"/>
      <name val="Times New Roman"/>
      <family val="1"/>
    </font>
    <font>
      <i/>
      <sz val="16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2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/>
    <xf numFmtId="0" fontId="1" fillId="0" borderId="0"/>
    <xf numFmtId="0" fontId="4" fillId="0" borderId="0">
      <alignment vertical="center"/>
    </xf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5" fillId="0" borderId="0"/>
    <xf numFmtId="0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10" fillId="0" borderId="0"/>
    <xf numFmtId="40" fontId="3" fillId="0" borderId="4"/>
    <xf numFmtId="0" fontId="3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" fillId="0" borderId="0"/>
    <xf numFmtId="9" fontId="12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12" fillId="0" borderId="0">
      <alignment vertical="center"/>
    </xf>
    <xf numFmtId="0" fontId="13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21" borderId="6" applyNumberFormat="0" applyAlignment="0" applyProtection="0"/>
    <xf numFmtId="0" fontId="17" fillId="22" borderId="7" applyNumberFormat="0" applyAlignment="0" applyProtection="0"/>
    <xf numFmtId="38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0" fontId="1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6" applyNumberFormat="0" applyAlignment="0" applyProtection="0"/>
    <xf numFmtId="0" fontId="25" fillId="0" borderId="11" applyNumberFormat="0" applyFill="0" applyAlignment="0" applyProtection="0"/>
    <xf numFmtId="0" fontId="26" fillId="23" borderId="0" applyNumberFormat="0" applyBorder="0" applyAlignment="0" applyProtection="0"/>
    <xf numFmtId="0" fontId="27" fillId="0" borderId="0"/>
    <xf numFmtId="0" fontId="5" fillId="0" borderId="0"/>
    <xf numFmtId="0" fontId="13" fillId="24" borderId="12" applyNumberFormat="0" applyFont="0" applyAlignment="0" applyProtection="0"/>
    <xf numFmtId="0" fontId="28" fillId="21" borderId="13" applyNumberFormat="0" applyAlignment="0" applyProtection="0"/>
    <xf numFmtId="9" fontId="1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1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43" fontId="1" fillId="0" borderId="0" applyFont="0" applyFill="0" applyBorder="0" applyAlignment="0" applyProtection="0"/>
    <xf numFmtId="0" fontId="38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/>
    <xf numFmtId="0" fontId="1" fillId="0" borderId="0"/>
    <xf numFmtId="0" fontId="5" fillId="0" borderId="0"/>
    <xf numFmtId="0" fontId="43" fillId="0" borderId="0"/>
    <xf numFmtId="0" fontId="1" fillId="0" borderId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55">
    <xf numFmtId="0" fontId="0" fillId="0" borderId="0" xfId="0"/>
    <xf numFmtId="0" fontId="4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4" fillId="2" borderId="3" xfId="0" applyFont="1" applyFill="1" applyBorder="1" applyAlignment="1">
      <alignment vertical="center"/>
    </xf>
    <xf numFmtId="0" fontId="36" fillId="2" borderId="0" xfId="0" applyFont="1" applyFill="1" applyAlignment="1">
      <alignment vertical="center"/>
    </xf>
    <xf numFmtId="0" fontId="37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horizontal="left" vertical="center" indent="3"/>
    </xf>
    <xf numFmtId="0" fontId="4" fillId="2" borderId="3" xfId="0" applyFont="1" applyFill="1" applyBorder="1" applyAlignment="1">
      <alignment horizontal="left" vertical="center" indent="3"/>
    </xf>
    <xf numFmtId="0" fontId="40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166" fontId="4" fillId="2" borderId="0" xfId="0" applyNumberFormat="1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 indent="1"/>
    </xf>
    <xf numFmtId="0" fontId="40" fillId="2" borderId="0" xfId="0" applyFont="1" applyFill="1" applyAlignment="1">
      <alignment horizontal="left" vertical="center" indent="1"/>
    </xf>
    <xf numFmtId="0" fontId="40" fillId="2" borderId="0" xfId="0" applyFont="1" applyFill="1" applyAlignment="1">
      <alignment horizontal="left" vertical="center" indent="2"/>
    </xf>
    <xf numFmtId="0" fontId="45" fillId="2" borderId="0" xfId="0" applyFont="1" applyFill="1" applyAlignment="1">
      <alignment horizontal="left" vertical="center" indent="2"/>
    </xf>
    <xf numFmtId="0" fontId="45" fillId="2" borderId="0" xfId="0" applyFont="1" applyFill="1" applyAlignment="1">
      <alignment horizontal="left" vertical="center" indent="1"/>
    </xf>
    <xf numFmtId="0" fontId="44" fillId="2" borderId="0" xfId="0" applyFont="1" applyFill="1" applyAlignment="1">
      <alignment horizontal="left" vertical="center" indent="1"/>
    </xf>
    <xf numFmtId="167" fontId="40" fillId="2" borderId="0" xfId="1" applyNumberFormat="1" applyFont="1" applyFill="1" applyBorder="1" applyAlignment="1">
      <alignment horizontal="center" vertical="center"/>
    </xf>
    <xf numFmtId="167" fontId="4" fillId="2" borderId="0" xfId="1" applyNumberFormat="1" applyFont="1" applyFill="1" applyAlignment="1">
      <alignment vertical="center"/>
    </xf>
    <xf numFmtId="167" fontId="40" fillId="2" borderId="0" xfId="1" applyNumberFormat="1" applyFont="1" applyFill="1" applyAlignment="1">
      <alignment vertical="center"/>
    </xf>
    <xf numFmtId="0" fontId="40" fillId="2" borderId="0" xfId="0" applyFont="1" applyFill="1" applyAlignment="1">
      <alignment horizontal="left" vertical="center"/>
    </xf>
    <xf numFmtId="0" fontId="40" fillId="2" borderId="0" xfId="0" applyFont="1" applyFill="1" applyAlignment="1">
      <alignment horizontal="left" vertical="center" wrapText="1"/>
    </xf>
    <xf numFmtId="0" fontId="40" fillId="2" borderId="2" xfId="0" applyFont="1" applyFill="1" applyBorder="1" applyAlignment="1">
      <alignment horizontal="left" vertical="center"/>
    </xf>
    <xf numFmtId="0" fontId="40" fillId="2" borderId="2" xfId="0" applyFont="1" applyFill="1" applyBorder="1" applyAlignment="1">
      <alignment horizontal="left" vertical="center" wrapText="1"/>
    </xf>
    <xf numFmtId="0" fontId="44" fillId="2" borderId="0" xfId="0" quotePrefix="1" applyFont="1" applyFill="1" applyAlignment="1">
      <alignment horizontal="left" vertical="center" indent="1"/>
    </xf>
    <xf numFmtId="0" fontId="37" fillId="2" borderId="0" xfId="0" applyFont="1" applyFill="1" applyAlignment="1">
      <alignment horizontal="left" vertical="center" indent="1"/>
    </xf>
    <xf numFmtId="0" fontId="40" fillId="2" borderId="0" xfId="0" applyFont="1" applyFill="1" applyAlignment="1">
      <alignment horizontal="left" vertical="center" indent="3"/>
    </xf>
    <xf numFmtId="0" fontId="37" fillId="2" borderId="0" xfId="0" applyFont="1" applyFill="1" applyAlignment="1">
      <alignment horizontal="left" vertical="center" indent="2"/>
    </xf>
    <xf numFmtId="0" fontId="32" fillId="2" borderId="0" xfId="0" applyFont="1" applyFill="1" applyAlignment="1">
      <alignment horizontal="left" vertical="center" indent="2"/>
    </xf>
    <xf numFmtId="0" fontId="41" fillId="2" borderId="0" xfId="0" applyFont="1" applyFill="1" applyAlignment="1">
      <alignment vertical="center"/>
    </xf>
    <xf numFmtId="0" fontId="46" fillId="2" borderId="0" xfId="0" applyFont="1" applyFill="1" applyAlignment="1">
      <alignment vertical="center"/>
    </xf>
    <xf numFmtId="0" fontId="40" fillId="2" borderId="0" xfId="0" applyFont="1" applyFill="1" applyAlignment="1">
      <alignment vertical="center" wrapText="1"/>
    </xf>
    <xf numFmtId="0" fontId="45" fillId="2" borderId="0" xfId="0" applyFont="1" applyFill="1" applyAlignment="1">
      <alignment vertical="center" wrapText="1"/>
    </xf>
    <xf numFmtId="0" fontId="45" fillId="2" borderId="0" xfId="0" applyFont="1" applyFill="1" applyAlignment="1">
      <alignment vertical="center"/>
    </xf>
    <xf numFmtId="49" fontId="7" fillId="2" borderId="0" xfId="0" applyNumberFormat="1" applyFont="1" applyFill="1" applyAlignment="1">
      <alignment horizontal="center" vertical="center"/>
    </xf>
    <xf numFmtId="0" fontId="40" fillId="2" borderId="5" xfId="0" applyFont="1" applyFill="1" applyBorder="1" applyAlignment="1">
      <alignment vertical="center"/>
    </xf>
    <xf numFmtId="0" fontId="3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left" vertical="center" wrapText="1"/>
    </xf>
    <xf numFmtId="14" fontId="4" fillId="2" borderId="0" xfId="0" applyNumberFormat="1" applyFont="1" applyFill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168" fontId="37" fillId="2" borderId="5" xfId="1" applyNumberFormat="1" applyFont="1" applyFill="1" applyBorder="1" applyAlignment="1">
      <alignment horizontal="right" vertical="center"/>
    </xf>
    <xf numFmtId="167" fontId="40" fillId="2" borderId="5" xfId="1" applyNumberFormat="1" applyFont="1" applyFill="1" applyBorder="1" applyAlignment="1">
      <alignment horizontal="right" vertical="center"/>
    </xf>
    <xf numFmtId="167" fontId="37" fillId="2" borderId="5" xfId="1" applyNumberFormat="1" applyFont="1" applyFill="1" applyBorder="1" applyAlignment="1">
      <alignment horizontal="right" vertical="center"/>
    </xf>
    <xf numFmtId="0" fontId="32" fillId="2" borderId="15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39" fillId="2" borderId="18" xfId="0" applyFont="1" applyFill="1" applyBorder="1" applyAlignment="1">
      <alignment horizontal="center" vertical="center"/>
    </xf>
  </cellXfs>
  <cellStyles count="119">
    <cellStyle name="20% - Accent1 2" xfId="31" xr:uid="{00000000-0005-0000-0000-000000000000}"/>
    <cellStyle name="20% - Accent2 2" xfId="32" xr:uid="{00000000-0005-0000-0000-000001000000}"/>
    <cellStyle name="20% - Accent3 2" xfId="33" xr:uid="{00000000-0005-0000-0000-000002000000}"/>
    <cellStyle name="20% - Accent4 2" xfId="34" xr:uid="{00000000-0005-0000-0000-000003000000}"/>
    <cellStyle name="20% - Accent5 2" xfId="35" xr:uid="{00000000-0005-0000-0000-000004000000}"/>
    <cellStyle name="20% - Accent6 2" xfId="36" xr:uid="{00000000-0005-0000-0000-000005000000}"/>
    <cellStyle name="40% - Accent1 2" xfId="37" xr:uid="{00000000-0005-0000-0000-000006000000}"/>
    <cellStyle name="40% - Accent2 2" xfId="38" xr:uid="{00000000-0005-0000-0000-000007000000}"/>
    <cellStyle name="40% - Accent3 2" xfId="39" xr:uid="{00000000-0005-0000-0000-000008000000}"/>
    <cellStyle name="40% - Accent4 2" xfId="40" xr:uid="{00000000-0005-0000-0000-000009000000}"/>
    <cellStyle name="40% - Accent5 2" xfId="41" xr:uid="{00000000-0005-0000-0000-00000A000000}"/>
    <cellStyle name="40% - Accent6 2" xfId="42" xr:uid="{00000000-0005-0000-0000-00000B000000}"/>
    <cellStyle name="60% - Accent1 2" xfId="43" xr:uid="{00000000-0005-0000-0000-00000C000000}"/>
    <cellStyle name="60% - Accent2 2" xfId="44" xr:uid="{00000000-0005-0000-0000-00000D000000}"/>
    <cellStyle name="60% - Accent3 2" xfId="45" xr:uid="{00000000-0005-0000-0000-00000E000000}"/>
    <cellStyle name="60% - Accent4 2" xfId="46" xr:uid="{00000000-0005-0000-0000-00000F000000}"/>
    <cellStyle name="60% - Accent5 2" xfId="47" xr:uid="{00000000-0005-0000-0000-000010000000}"/>
    <cellStyle name="60% - Accent6 2" xfId="48" xr:uid="{00000000-0005-0000-0000-000011000000}"/>
    <cellStyle name="Accent1 2" xfId="49" xr:uid="{00000000-0005-0000-0000-000012000000}"/>
    <cellStyle name="Accent2 2" xfId="50" xr:uid="{00000000-0005-0000-0000-000013000000}"/>
    <cellStyle name="Accent3 2" xfId="51" xr:uid="{00000000-0005-0000-0000-000014000000}"/>
    <cellStyle name="Accent4 2" xfId="52" xr:uid="{00000000-0005-0000-0000-000015000000}"/>
    <cellStyle name="Accent5 2" xfId="53" xr:uid="{00000000-0005-0000-0000-000016000000}"/>
    <cellStyle name="Accent6 2" xfId="54" xr:uid="{00000000-0005-0000-0000-000017000000}"/>
    <cellStyle name="Bad 2" xfId="55" xr:uid="{00000000-0005-0000-0000-000018000000}"/>
    <cellStyle name="Calculation 2" xfId="56" xr:uid="{00000000-0005-0000-0000-000019000000}"/>
    <cellStyle name="Check Cell 2" xfId="57" xr:uid="{00000000-0005-0000-0000-00001A000000}"/>
    <cellStyle name="Comma" xfId="1" builtinId="3"/>
    <cellStyle name="Comma [0] 2" xfId="6" xr:uid="{00000000-0005-0000-0000-00001C000000}"/>
    <cellStyle name="Comma [0] 2 2" xfId="58" xr:uid="{00000000-0005-0000-0000-00001D000000}"/>
    <cellStyle name="Comma [0] 3" xfId="23" xr:uid="{00000000-0005-0000-0000-00001E000000}"/>
    <cellStyle name="Comma 10" xfId="59" xr:uid="{00000000-0005-0000-0000-00001F000000}"/>
    <cellStyle name="Comma 11" xfId="60" xr:uid="{00000000-0005-0000-0000-000020000000}"/>
    <cellStyle name="Comma 12" xfId="61" xr:uid="{00000000-0005-0000-0000-000021000000}"/>
    <cellStyle name="Comma 13" xfId="62" xr:uid="{00000000-0005-0000-0000-000022000000}"/>
    <cellStyle name="Comma 14" xfId="63" xr:uid="{00000000-0005-0000-0000-000023000000}"/>
    <cellStyle name="Comma 15" xfId="64" xr:uid="{00000000-0005-0000-0000-000024000000}"/>
    <cellStyle name="Comma 16" xfId="65" xr:uid="{00000000-0005-0000-0000-000025000000}"/>
    <cellStyle name="Comma 17" xfId="66" xr:uid="{00000000-0005-0000-0000-000026000000}"/>
    <cellStyle name="Comma 18" xfId="67" xr:uid="{00000000-0005-0000-0000-000027000000}"/>
    <cellStyle name="Comma 19" xfId="68" xr:uid="{00000000-0005-0000-0000-000028000000}"/>
    <cellStyle name="Comma 2" xfId="3" xr:uid="{00000000-0005-0000-0000-000029000000}"/>
    <cellStyle name="Comma 2 2" xfId="69" xr:uid="{00000000-0005-0000-0000-00002A000000}"/>
    <cellStyle name="Comma 2 3" xfId="109" xr:uid="{00000000-0005-0000-0000-00002B000000}"/>
    <cellStyle name="Comma 20" xfId="70" xr:uid="{00000000-0005-0000-0000-00002C000000}"/>
    <cellStyle name="Comma 21" xfId="71" xr:uid="{00000000-0005-0000-0000-00002D000000}"/>
    <cellStyle name="Comma 22" xfId="72" xr:uid="{00000000-0005-0000-0000-00002E000000}"/>
    <cellStyle name="Comma 23" xfId="73" xr:uid="{00000000-0005-0000-0000-00002F000000}"/>
    <cellStyle name="Comma 24" xfId="74" xr:uid="{00000000-0005-0000-0000-000030000000}"/>
    <cellStyle name="Comma 25" xfId="75" xr:uid="{00000000-0005-0000-0000-000031000000}"/>
    <cellStyle name="Comma 26" xfId="76" xr:uid="{00000000-0005-0000-0000-000032000000}"/>
    <cellStyle name="Comma 27" xfId="77" xr:uid="{00000000-0005-0000-0000-000033000000}"/>
    <cellStyle name="Comma 28" xfId="78" xr:uid="{00000000-0005-0000-0000-000034000000}"/>
    <cellStyle name="Comma 3" xfId="10" xr:uid="{00000000-0005-0000-0000-000035000000}"/>
    <cellStyle name="Comma 3 2" xfId="79" xr:uid="{00000000-0005-0000-0000-000036000000}"/>
    <cellStyle name="Comma 3 3" xfId="101" xr:uid="{00000000-0005-0000-0000-000037000000}"/>
    <cellStyle name="Comma 3 4" xfId="110" xr:uid="{00000000-0005-0000-0000-000038000000}"/>
    <cellStyle name="Comma 4" xfId="11" xr:uid="{00000000-0005-0000-0000-000039000000}"/>
    <cellStyle name="Comma 5" xfId="9" xr:uid="{00000000-0005-0000-0000-00003A000000}"/>
    <cellStyle name="Comma 5 2" xfId="106" xr:uid="{00000000-0005-0000-0000-00003B000000}"/>
    <cellStyle name="Comma 6" xfId="80" xr:uid="{00000000-0005-0000-0000-00003C000000}"/>
    <cellStyle name="Comma 7" xfId="81" xr:uid="{00000000-0005-0000-0000-00003D000000}"/>
    <cellStyle name="Comma 8" xfId="82" xr:uid="{00000000-0005-0000-0000-00003E000000}"/>
    <cellStyle name="Comma 9" xfId="83" xr:uid="{00000000-0005-0000-0000-00003F000000}"/>
    <cellStyle name="Explanatory Text 2" xfId="84" xr:uid="{00000000-0005-0000-0000-000040000000}"/>
    <cellStyle name="Good 2" xfId="85" xr:uid="{00000000-0005-0000-0000-000041000000}"/>
    <cellStyle name="Heading 1 2" xfId="86" xr:uid="{00000000-0005-0000-0000-000042000000}"/>
    <cellStyle name="Heading 2 2" xfId="87" xr:uid="{00000000-0005-0000-0000-000043000000}"/>
    <cellStyle name="Heading 3 2" xfId="88" xr:uid="{00000000-0005-0000-0000-000044000000}"/>
    <cellStyle name="Heading 4 2" xfId="89" xr:uid="{00000000-0005-0000-0000-000045000000}"/>
    <cellStyle name="Hyperlink 2" xfId="111" xr:uid="{00000000-0005-0000-0000-000046000000}"/>
    <cellStyle name="Input 2" xfId="90" xr:uid="{00000000-0005-0000-0000-000047000000}"/>
    <cellStyle name="Linked Cell 2" xfId="91" xr:uid="{00000000-0005-0000-0000-000048000000}"/>
    <cellStyle name="Neutral 2" xfId="92" xr:uid="{00000000-0005-0000-0000-000049000000}"/>
    <cellStyle name="Normal" xfId="0" builtinId="0"/>
    <cellStyle name="Normal 16" xfId="93" xr:uid="{00000000-0005-0000-0000-00004B000000}"/>
    <cellStyle name="Normal 2" xfId="2" xr:uid="{00000000-0005-0000-0000-00004C000000}"/>
    <cellStyle name="Normal 2 2" xfId="12" xr:uid="{00000000-0005-0000-0000-00004D000000}"/>
    <cellStyle name="Normal 2 2 2" xfId="94" xr:uid="{00000000-0005-0000-0000-00004E000000}"/>
    <cellStyle name="Normal 2 2 2 2" xfId="112" xr:uid="{00000000-0005-0000-0000-00004F000000}"/>
    <cellStyle name="Normal 2 2 3" xfId="113" xr:uid="{00000000-0005-0000-0000-000050000000}"/>
    <cellStyle name="Normal 2 3" xfId="114" xr:uid="{00000000-0005-0000-0000-000051000000}"/>
    <cellStyle name="Normal 2 4" xfId="115" xr:uid="{00000000-0005-0000-0000-000052000000}"/>
    <cellStyle name="Normal 3" xfId="5" xr:uid="{00000000-0005-0000-0000-000053000000}"/>
    <cellStyle name="Normal 3 2" xfId="30" xr:uid="{00000000-0005-0000-0000-000054000000}"/>
    <cellStyle name="Normal 3 3" xfId="116" xr:uid="{00000000-0005-0000-0000-000055000000}"/>
    <cellStyle name="Normal 4" xfId="7" xr:uid="{00000000-0005-0000-0000-000056000000}"/>
    <cellStyle name="Normal 5" xfId="8" xr:uid="{00000000-0005-0000-0000-000057000000}"/>
    <cellStyle name="Normal 5 2" xfId="105" xr:uid="{00000000-0005-0000-0000-000058000000}"/>
    <cellStyle name="Normal 6" xfId="107" xr:uid="{00000000-0005-0000-0000-000059000000}"/>
    <cellStyle name="Normal 8" xfId="108" xr:uid="{00000000-0005-0000-0000-00005A000000}"/>
    <cellStyle name="Note 2" xfId="95" xr:uid="{00000000-0005-0000-0000-00005B000000}"/>
    <cellStyle name="Output 2" xfId="96" xr:uid="{00000000-0005-0000-0000-00005C000000}"/>
    <cellStyle name="Percent 2" xfId="4" xr:uid="{00000000-0005-0000-0000-00005D000000}"/>
    <cellStyle name="Percent 2 2" xfId="97" xr:uid="{00000000-0005-0000-0000-00005E000000}"/>
    <cellStyle name="Percent 2 3" xfId="117" xr:uid="{00000000-0005-0000-0000-00005F000000}"/>
    <cellStyle name="Percent 3" xfId="118" xr:uid="{00000000-0005-0000-0000-000060000000}"/>
    <cellStyle name="Title 2" xfId="98" xr:uid="{00000000-0005-0000-0000-000061000000}"/>
    <cellStyle name="Total 2" xfId="99" xr:uid="{00000000-0005-0000-0000-000062000000}"/>
    <cellStyle name="Warning Text 2" xfId="100" xr:uid="{00000000-0005-0000-0000-000063000000}"/>
    <cellStyle name="パーセント 2" xfId="26" xr:uid="{00000000-0005-0000-0000-000064000000}"/>
    <cellStyle name="쉼표 [0] 2" xfId="13" xr:uid="{00000000-0005-0000-0000-000065000000}"/>
    <cellStyle name="콤마 [0]_G111FMSB" xfId="14" xr:uid="{00000000-0005-0000-0000-000066000000}"/>
    <cellStyle name="콤마_G111FMSB" xfId="15" xr:uid="{00000000-0005-0000-0000-000067000000}"/>
    <cellStyle name="표준 2" xfId="16" xr:uid="{00000000-0005-0000-0000-000068000000}"/>
    <cellStyle name="표준 3" xfId="17" xr:uid="{00000000-0005-0000-0000-000069000000}"/>
    <cellStyle name="표준 4" xfId="18" xr:uid="{00000000-0005-0000-0000-00006A000000}"/>
    <cellStyle name="표준 5" xfId="19" xr:uid="{00000000-0005-0000-0000-00006B000000}"/>
    <cellStyle name="표준_공사개요" xfId="20" xr:uid="{00000000-0005-0000-0000-00006C000000}"/>
    <cellStyle name="一般 18 3" xfId="24" xr:uid="{00000000-0005-0000-0000-00006D000000}"/>
    <cellStyle name="一般 2 10" xfId="25" xr:uid="{00000000-0005-0000-0000-00006E000000}"/>
    <cellStyle name="桁区切り [0.0]" xfId="21" xr:uid="{00000000-0005-0000-0000-00006F000000}"/>
    <cellStyle name="桁区切り 2" xfId="102" xr:uid="{00000000-0005-0000-0000-000070000000}"/>
    <cellStyle name="標準 2" xfId="27" xr:uid="{00000000-0005-0000-0000-000071000000}"/>
    <cellStyle name="標準 3" xfId="28" xr:uid="{00000000-0005-0000-0000-000072000000}"/>
    <cellStyle name="標準 3 2" xfId="103" xr:uid="{00000000-0005-0000-0000-000073000000}"/>
    <cellStyle name="標準 4" xfId="29" xr:uid="{00000000-0005-0000-0000-000074000000}"/>
    <cellStyle name="標準 4 2" xfId="104" xr:uid="{00000000-0005-0000-0000-000075000000}"/>
    <cellStyle name="標準_100107 YBC・第3次ﾌﾞｰﾀﾝ橋" xfId="22" xr:uid="{00000000-0005-0000-0000-00007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0.%20Golden%20Land%205-HH3-HH4\003.%20Planning\005.%20V&#7853;t%20t&#432;,%20v&#7853;t%20li&#7879;u,%20t&#224;i%20s&#7843;n\003.%20Ch&#234;nh%20l&#7879;ch%20chi%20ph&#237;\4.HCA-V&#7853;t%20t&#4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"/>
      <sheetName val="DM NL"/>
      <sheetName val="MaNL Rev.03"/>
      <sheetName val="MaNL Rev.04"/>
      <sheetName val="1.DM Material SAP Rev.04"/>
      <sheetName val="2. DM VAT TU (quản trị)"/>
      <sheetName val="Sheet1"/>
      <sheetName val="DM QL ton kho"/>
      <sheetName val="Phan loai Hau can"/>
    </sheetNames>
    <sheetDataSet>
      <sheetData sheetId="0"/>
      <sheetData sheetId="1"/>
      <sheetData sheetId="2"/>
      <sheetData sheetId="3"/>
      <sheetData sheetId="4">
        <row r="4">
          <cell r="C4" t="str">
            <v>Z11: NGUYÊN VẬT LIỆU CHÍNH</v>
          </cell>
        </row>
        <row r="5">
          <cell r="C5" t="str">
            <v>VẬT LIỆU THI CÔNG NỀN ĐẤT</v>
          </cell>
        </row>
        <row r="6">
          <cell r="C6" t="str">
            <v>Vật liệu san lấp</v>
          </cell>
        </row>
        <row r="7">
          <cell r="C7" t="str">
            <v>Cát đen san lấp</v>
          </cell>
        </row>
        <row r="8">
          <cell r="C8">
            <v>0</v>
          </cell>
        </row>
        <row r="9">
          <cell r="C9" t="str">
            <v>VẬT LIỆU THÉP</v>
          </cell>
        </row>
        <row r="10">
          <cell r="C10" t="str">
            <v>Thép thanh vằn 11.7m</v>
          </cell>
        </row>
        <row r="11">
          <cell r="C11" t="str">
            <v>Thép thanh vằn 11.7m D8</v>
          </cell>
        </row>
        <row r="12">
          <cell r="C12" t="str">
            <v>Thép thanh vằn 11.7m D10</v>
          </cell>
        </row>
        <row r="13">
          <cell r="C13" t="str">
            <v>Thép thanh vằn 11.7m D12</v>
          </cell>
        </row>
        <row r="14">
          <cell r="C14" t="str">
            <v>Thép thanh vằn 11.7m D14</v>
          </cell>
        </row>
        <row r="15">
          <cell r="C15" t="str">
            <v>Thép thanh vằn 11.7m D16</v>
          </cell>
        </row>
        <row r="16">
          <cell r="C16" t="str">
            <v>Thép thanh vằn 11.7m D18</v>
          </cell>
        </row>
        <row r="17">
          <cell r="C17" t="str">
            <v>Thép thanh vằn 11.7m D20</v>
          </cell>
        </row>
        <row r="18">
          <cell r="C18" t="str">
            <v>Thép thanh vằn 11.7m D22</v>
          </cell>
        </row>
        <row r="19">
          <cell r="C19" t="str">
            <v>Thép thanh vằn 11.7m D25</v>
          </cell>
        </row>
        <row r="20">
          <cell r="C20" t="str">
            <v>Thép thanh vằn 11.7m D28</v>
          </cell>
        </row>
        <row r="21">
          <cell r="C21" t="str">
            <v>Thép thanh vằn 11.7m D32</v>
          </cell>
        </row>
        <row r="22">
          <cell r="C22" t="str">
            <v xml:space="preserve">Thép cuộn trơn </v>
          </cell>
        </row>
        <row r="23">
          <cell r="C23" t="str">
            <v>Thép cuộn trơn D8</v>
          </cell>
        </row>
        <row r="24">
          <cell r="C24" t="str">
            <v>Thép cuộn trơn D10</v>
          </cell>
        </row>
        <row r="25">
          <cell r="C25" t="str">
            <v>Thép cuộn trơn D6</v>
          </cell>
        </row>
        <row r="26">
          <cell r="C26" t="str">
            <v>Thép cuộn vằn D8</v>
          </cell>
        </row>
        <row r="27">
          <cell r="C27" t="str">
            <v>Thép thanh vằn theo Modul</v>
          </cell>
        </row>
        <row r="28">
          <cell r="C28" t="str">
            <v>Thép thanh vằn Modul 6.6m D20</v>
          </cell>
        </row>
        <row r="29">
          <cell r="C29" t="str">
            <v>Thép thanh vằn Modul 6.6m D22</v>
          </cell>
        </row>
        <row r="30">
          <cell r="C30" t="str">
            <v>Thép thanh vằn Modul 6.6m D25</v>
          </cell>
        </row>
        <row r="31">
          <cell r="C31" t="str">
            <v>Thép thanh vằn Modul 6.62m D12</v>
          </cell>
        </row>
        <row r="32">
          <cell r="C32" t="str">
            <v>Thép thanh vằn Modul 7.45m D14</v>
          </cell>
        </row>
        <row r="33">
          <cell r="C33" t="str">
            <v>Thép thanh vằn Modul 9.45m D12</v>
          </cell>
        </row>
        <row r="34">
          <cell r="C34" t="str">
            <v>Thép thanh vằn Modul 9m D14</v>
          </cell>
        </row>
        <row r="35">
          <cell r="C35" t="str">
            <v>Thép thanh vằn Modul 7.8m D28</v>
          </cell>
        </row>
        <row r="36">
          <cell r="C36" t="str">
            <v>Thép thanh vằn Modul 7.6m D25</v>
          </cell>
        </row>
        <row r="37">
          <cell r="C37" t="str">
            <v>Thép thanh vằn Modul 7.48m D22</v>
          </cell>
        </row>
        <row r="38">
          <cell r="C38" t="str">
            <v>Thép thanh vằn Modul 7.4m D20</v>
          </cell>
        </row>
        <row r="39">
          <cell r="C39" t="str">
            <v>Thép thanh vằn Modul 7.32m D18</v>
          </cell>
        </row>
        <row r="40">
          <cell r="C40" t="str">
            <v>Lưới thép hàn</v>
          </cell>
        </row>
        <row r="41">
          <cell r="C41" t="str">
            <v>Lưới thép hàn A8 (2,4x6m)</v>
          </cell>
        </row>
        <row r="42">
          <cell r="C42" t="str">
            <v>Lưới thép hàn D4 (2,4x6m)</v>
          </cell>
        </row>
        <row r="43">
          <cell r="C43">
            <v>0</v>
          </cell>
        </row>
        <row r="44">
          <cell r="C44" t="str">
            <v>VẬT LIỆU BÊ TÔNG</v>
          </cell>
        </row>
        <row r="45">
          <cell r="C45" t="str">
            <v>Bê tông thương phẩm thường</v>
          </cell>
        </row>
        <row r="46">
          <cell r="C46" t="str">
            <v>Bê tông thương phẩm M100</v>
          </cell>
        </row>
        <row r="47">
          <cell r="C47" t="str">
            <v>Bê tông thương phẩm M200</v>
          </cell>
        </row>
        <row r="48">
          <cell r="C48" t="str">
            <v>Bê tông thương phẩm M250</v>
          </cell>
        </row>
        <row r="49">
          <cell r="C49" t="str">
            <v>Bê tông thương phẩm M300</v>
          </cell>
        </row>
        <row r="50">
          <cell r="C50" t="str">
            <v>Bê tông thương phẩm M350</v>
          </cell>
        </row>
        <row r="51">
          <cell r="C51" t="str">
            <v>Bê tông thương phẩm M400</v>
          </cell>
        </row>
        <row r="52">
          <cell r="C52" t="str">
            <v>Bê tông thương phẩm M450</v>
          </cell>
        </row>
        <row r="53">
          <cell r="C53" t="str">
            <v>Bê tông thương phẩm M500</v>
          </cell>
        </row>
        <row r="54">
          <cell r="C54" t="str">
            <v>Bê tông thương phẩm phụ gia chống thấm</v>
          </cell>
        </row>
        <row r="55">
          <cell r="C55" t="str">
            <v>Vữa rót không co ngót</v>
          </cell>
        </row>
        <row r="56">
          <cell r="C56" t="str">
            <v>Sika Grout 214-11</v>
          </cell>
        </row>
        <row r="57">
          <cell r="C57" t="str">
            <v>Sika Grout 214-11 HS</v>
          </cell>
        </row>
        <row r="58">
          <cell r="C58" t="str">
            <v>GPS Grout M600</v>
          </cell>
        </row>
        <row r="59">
          <cell r="C59" t="str">
            <v>GPS Grout MH</v>
          </cell>
        </row>
        <row r="60">
          <cell r="C60" t="str">
            <v>Ac Grout M60</v>
          </cell>
        </row>
        <row r="61">
          <cell r="C61" t="str">
            <v>Ac Grout M80</v>
          </cell>
        </row>
        <row r="62">
          <cell r="C62" t="str">
            <v>Tăng cứng bề mặt bê tông</v>
          </cell>
        </row>
        <row r="63">
          <cell r="C63" t="str">
            <v>Sikafloor chapdur grey</v>
          </cell>
        </row>
        <row r="64">
          <cell r="C64" t="str">
            <v>Sikafloor chapdur green</v>
          </cell>
        </row>
        <row r="65">
          <cell r="C65">
            <v>0</v>
          </cell>
        </row>
        <row r="66">
          <cell r="C66" t="str">
            <v>VẬT LIỆU CHỐNG THẤM, CHỐNG NHIỆT</v>
          </cell>
        </row>
        <row r="67">
          <cell r="C67" t="str">
            <v>Sika</v>
          </cell>
        </row>
        <row r="68">
          <cell r="C68" t="str">
            <v>Sikadur 731</v>
          </cell>
        </row>
        <row r="69">
          <cell r="C69" t="str">
            <v>Sikadur 732</v>
          </cell>
        </row>
        <row r="70">
          <cell r="C70" t="str">
            <v>Sika latex</v>
          </cell>
        </row>
        <row r="71">
          <cell r="C71" t="str">
            <v>Sika latex TH</v>
          </cell>
        </row>
        <row r="72">
          <cell r="C72" t="str">
            <v>Sika flex Construction AP</v>
          </cell>
        </row>
        <row r="73">
          <cell r="C73" t="str">
            <v>Sika topseal 109</v>
          </cell>
        </row>
        <row r="74">
          <cell r="C74" t="str">
            <v>Sika topseal 107</v>
          </cell>
        </row>
        <row r="75">
          <cell r="C75" t="str">
            <v>Sika altiso E</v>
          </cell>
        </row>
        <row r="76">
          <cell r="C76" t="str">
            <v>Sika altiso S</v>
          </cell>
        </row>
        <row r="77">
          <cell r="C77" t="str">
            <v>Sika Refit 2000</v>
          </cell>
        </row>
        <row r="78">
          <cell r="C78" t="str">
            <v>Sika Rugasol C</v>
          </cell>
        </row>
        <row r="79">
          <cell r="C79" t="str">
            <v>Sika Bituseal T130 SG</v>
          </cell>
        </row>
        <row r="80">
          <cell r="C80" t="str">
            <v>Sika Bituseal T140 SG</v>
          </cell>
        </row>
        <row r="81">
          <cell r="C81" t="str">
            <v>Sika BC Bitument Coating</v>
          </cell>
        </row>
        <row r="82">
          <cell r="C82" t="str">
            <v>Sika flex pro3 - WF</v>
          </cell>
        </row>
        <row r="83">
          <cell r="C83" t="str">
            <v>Sika floor 161</v>
          </cell>
        </row>
        <row r="84">
          <cell r="C84" t="str">
            <v>Sikaproof Membrane</v>
          </cell>
        </row>
        <row r="85">
          <cell r="C85" t="str">
            <v>Sika Rugasol F</v>
          </cell>
        </row>
        <row r="86">
          <cell r="C86" t="str">
            <v>Sika Separol</v>
          </cell>
        </row>
        <row r="87">
          <cell r="C87">
            <v>0</v>
          </cell>
        </row>
        <row r="88">
          <cell r="C88" t="str">
            <v>Nucetech</v>
          </cell>
        </row>
        <row r="89">
          <cell r="C89" t="str">
            <v>Nucemix TG</v>
          </cell>
        </row>
        <row r="90">
          <cell r="C90" t="str">
            <v>Nucemix latex TH</v>
          </cell>
        </row>
        <row r="91">
          <cell r="C91" t="str">
            <v>GPS</v>
          </cell>
        </row>
        <row r="92">
          <cell r="C92" t="str">
            <v>GPS Coat12</v>
          </cell>
        </row>
        <row r="93">
          <cell r="C93" t="str">
            <v>GPS Membrane</v>
          </cell>
        </row>
        <row r="94">
          <cell r="C94" t="str">
            <v>GPS Latex</v>
          </cell>
        </row>
        <row r="95">
          <cell r="C95" t="str">
            <v>GPS Latex TH</v>
          </cell>
        </row>
        <row r="96">
          <cell r="C96">
            <v>0</v>
          </cell>
        </row>
        <row r="97">
          <cell r="C97" t="str">
            <v>IBST</v>
          </cell>
        </row>
        <row r="98">
          <cell r="C98" t="str">
            <v>IBST Latex ECO</v>
          </cell>
        </row>
        <row r="99">
          <cell r="C99" t="str">
            <v>Vinkem</v>
          </cell>
        </row>
        <row r="100">
          <cell r="C100" t="str">
            <v>Vitec</v>
          </cell>
        </row>
        <row r="101">
          <cell r="C101" t="str">
            <v>Vitec Hyperstop DB 2519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 t="str">
            <v>VẬT LIỆU XÂY TRÁT</v>
          </cell>
        </row>
        <row r="105">
          <cell r="C105" t="str">
            <v>Cát xây trát</v>
          </cell>
        </row>
        <row r="106">
          <cell r="C106" t="str">
            <v>Cát đen xây trát</v>
          </cell>
        </row>
        <row r="107">
          <cell r="C107" t="str">
            <v>Cát vàng xây</v>
          </cell>
        </row>
        <row r="108">
          <cell r="C108" t="str">
            <v>Cát vàng bê tông</v>
          </cell>
        </row>
        <row r="109">
          <cell r="C109" t="str">
            <v>Gạch tuynel</v>
          </cell>
        </row>
        <row r="110">
          <cell r="C110" t="str">
            <v>Gạch đặc tuynel</v>
          </cell>
        </row>
        <row r="111">
          <cell r="C111" t="str">
            <v>Gạch 2 lỗ tuynel</v>
          </cell>
        </row>
        <row r="112">
          <cell r="C112" t="str">
            <v>Gạch 4 lỗ tuynel</v>
          </cell>
        </row>
        <row r="113">
          <cell r="C113" t="str">
            <v>Gạch 6 lỗ tuynel</v>
          </cell>
        </row>
        <row r="114">
          <cell r="C114" t="str">
            <v>Xi măng</v>
          </cell>
        </row>
        <row r="115">
          <cell r="C115" t="str">
            <v>Xi măng PCB 30</v>
          </cell>
        </row>
        <row r="116">
          <cell r="C116" t="str">
            <v>Xi măng PCB 40</v>
          </cell>
        </row>
        <row r="117">
          <cell r="C117">
            <v>0</v>
          </cell>
        </row>
        <row r="118">
          <cell r="C118" t="str">
            <v>VẬT LIỆU ỐP LÁT</v>
          </cell>
        </row>
        <row r="119">
          <cell r="C119" t="str">
            <v>Gạch mosaic</v>
          </cell>
        </row>
        <row r="120">
          <cell r="C120" t="str">
            <v>Gạch mosaic 20x20</v>
          </cell>
        </row>
        <row r="121">
          <cell r="C121" t="str">
            <v>Gạch mosaic 30x30</v>
          </cell>
        </row>
        <row r="122">
          <cell r="C122" t="str">
            <v>Gạch mosaic 48x48</v>
          </cell>
        </row>
        <row r="123">
          <cell r="C123" t="str">
            <v>Gạch Nairo</v>
          </cell>
        </row>
        <row r="124">
          <cell r="C124" t="str">
            <v>Gạch Nairo 300x300</v>
          </cell>
        </row>
        <row r="125">
          <cell r="C125" t="str">
            <v>Gạch Nairo 600x600</v>
          </cell>
        </row>
        <row r="126">
          <cell r="C126" t="str">
            <v>Gạch Nairo 900x900</v>
          </cell>
        </row>
        <row r="127">
          <cell r="C127" t="str">
            <v>Keo dán gạch, chít mạch, dán đá</v>
          </cell>
        </row>
        <row r="128">
          <cell r="C128" t="str">
            <v>Mova</v>
          </cell>
        </row>
        <row r="129">
          <cell r="C129" t="str">
            <v>Mater</v>
          </cell>
        </row>
        <row r="130">
          <cell r="C130" t="str">
            <v>Maxbond</v>
          </cell>
        </row>
        <row r="131">
          <cell r="C131" t="str">
            <v>Keo chít mạch Cmax</v>
          </cell>
        </row>
        <row r="132">
          <cell r="C132" t="str">
            <v>Gạch Taicera</v>
          </cell>
        </row>
        <row r="133">
          <cell r="C133" t="str">
            <v>Gạch taicera 300x300</v>
          </cell>
        </row>
        <row r="134">
          <cell r="C134" t="str">
            <v>Gạch taicera 300x600</v>
          </cell>
        </row>
        <row r="135">
          <cell r="C135" t="str">
            <v>Gạch taicera 600x600</v>
          </cell>
        </row>
        <row r="136">
          <cell r="C136" t="str">
            <v>Gạch Bạch Mã</v>
          </cell>
        </row>
        <row r="137">
          <cell r="C137" t="str">
            <v>Gạch Bạch Mã 300x300</v>
          </cell>
        </row>
        <row r="138">
          <cell r="C138" t="str">
            <v>Gạch Bạch Mã 300x600</v>
          </cell>
        </row>
        <row r="139">
          <cell r="C139" t="str">
            <v>Gạch đất nung</v>
          </cell>
        </row>
        <row r="140">
          <cell r="C140" t="str">
            <v>Gạch đất nung 300x300</v>
          </cell>
        </row>
        <row r="141">
          <cell r="C141">
            <v>0</v>
          </cell>
        </row>
        <row r="142">
          <cell r="C142" t="str">
            <v>VẬT LIỆU KẾT CẤU KIM LOẠI</v>
          </cell>
        </row>
        <row r="143">
          <cell r="C143" t="str">
            <v>Thép hình</v>
          </cell>
        </row>
        <row r="144">
          <cell r="C144" t="str">
            <v>Thép hình I 150x75x5x12000mm</v>
          </cell>
        </row>
        <row r="145">
          <cell r="C145" t="str">
            <v>Thép hình I 150x75x5x7x4000mm</v>
          </cell>
        </row>
        <row r="146">
          <cell r="C146" t="str">
            <v>Thép hình I 150x75x5x7x6000mm</v>
          </cell>
        </row>
        <row r="147">
          <cell r="C147" t="str">
            <v>Tôn tấm</v>
          </cell>
        </row>
        <row r="148">
          <cell r="C148" t="str">
            <v>Tôn tấm 1000*800*3mm</v>
          </cell>
        </row>
        <row r="149">
          <cell r="C149" t="str">
            <v>VẬT LIỆU SƠN BẢ</v>
          </cell>
        </row>
        <row r="150">
          <cell r="C150" t="str">
            <v>Sơn nội thất</v>
          </cell>
        </row>
        <row r="151">
          <cell r="C151" t="str">
            <v>Sơn ngoại thất</v>
          </cell>
        </row>
        <row r="152">
          <cell r="C152" t="str">
            <v>Sơn màu Jotun- Jotashield</v>
          </cell>
        </row>
        <row r="153">
          <cell r="C153" t="str">
            <v>Sơn màu Jotun- Jotashield 0567</v>
          </cell>
        </row>
        <row r="154">
          <cell r="C154" t="str">
            <v>Sơn màu Jotun- Jotashield 1132</v>
          </cell>
        </row>
        <row r="155">
          <cell r="C155" t="str">
            <v>Bả</v>
          </cell>
        </row>
        <row r="156">
          <cell r="C156" t="str">
            <v xml:space="preserve">VẬT LIỆU KẾT CẤU MÓNG ĐÁ DĂM </v>
          </cell>
        </row>
        <row r="157">
          <cell r="C157" t="str">
            <v>Cống BTCT, phụ kiện</v>
          </cell>
        </row>
        <row r="158">
          <cell r="C158" t="str">
            <v>Cống thép, phụ kiện</v>
          </cell>
        </row>
        <row r="159">
          <cell r="C159" t="str">
            <v>VẬT LIỆU HOÀN THIỆN</v>
          </cell>
        </row>
        <row r="160">
          <cell r="C160" t="str">
            <v>Đồ dùng nội thất</v>
          </cell>
        </row>
        <row r="161">
          <cell r="C161" t="str">
            <v>Kết cấu thép hoàn thiện</v>
          </cell>
        </row>
        <row r="162">
          <cell r="C162" t="str">
            <v>Khung đỡ bàn lavabo</v>
          </cell>
        </row>
        <row r="163">
          <cell r="C163">
            <v>0</v>
          </cell>
        </row>
        <row r="164">
          <cell r="C164">
            <v>0</v>
          </cell>
        </row>
        <row r="165">
          <cell r="C165" t="str">
            <v>Z12: NGUYÊN VẬT LIỆU PHỤ</v>
          </cell>
        </row>
        <row r="166">
          <cell r="C166" t="str">
            <v>VẬT LIỆU THI CÔNG NỀN ĐẤT PHỤ</v>
          </cell>
        </row>
        <row r="167">
          <cell r="C167" t="str">
            <v>Đất, đá cấp phối</v>
          </cell>
        </row>
        <row r="168">
          <cell r="C168" t="str">
            <v>Đá 1x2</v>
          </cell>
        </row>
        <row r="169">
          <cell r="C169" t="str">
            <v>Đá 2x4</v>
          </cell>
        </row>
        <row r="170">
          <cell r="C170" t="str">
            <v>Base A</v>
          </cell>
        </row>
        <row r="171">
          <cell r="C171" t="str">
            <v>Base B</v>
          </cell>
        </row>
        <row r="172">
          <cell r="C172" t="str">
            <v>Vải địa kỹ thuật</v>
          </cell>
        </row>
        <row r="173">
          <cell r="C173" t="str">
            <v>Vải địa kỹ thuật không dệt ART50</v>
          </cell>
        </row>
        <row r="174">
          <cell r="C174" t="str">
            <v>Vải địa kỹ thuật không dệt ART28D</v>
          </cell>
        </row>
        <row r="175">
          <cell r="C175" t="str">
            <v>Vải địa kỹ thuật ART11</v>
          </cell>
        </row>
        <row r="176">
          <cell r="C176" t="str">
            <v>Vải địa kỹ thuật ART28D</v>
          </cell>
        </row>
        <row r="177">
          <cell r="C177">
            <v>0</v>
          </cell>
        </row>
        <row r="178">
          <cell r="C178" t="str">
            <v>VẬT LIỆU THÉP PHỤ</v>
          </cell>
        </row>
        <row r="179">
          <cell r="C179" t="str">
            <v>Dây thép buộc</v>
          </cell>
        </row>
        <row r="180">
          <cell r="C180" t="str">
            <v>Dây thép buộc đen 1mm</v>
          </cell>
        </row>
        <row r="181">
          <cell r="C181" t="str">
            <v>Dây thép buộc mạ kẽm 1mm</v>
          </cell>
        </row>
        <row r="182">
          <cell r="C182" t="str">
            <v>Hóa chất khoan cấy thép</v>
          </cell>
        </row>
        <row r="183">
          <cell r="C183" t="str">
            <v>Keo Hilti</v>
          </cell>
        </row>
        <row r="184">
          <cell r="C184" t="str">
            <v>Keo Ramset epcom G5</v>
          </cell>
        </row>
        <row r="185">
          <cell r="C185" t="str">
            <v>Keo Fastfix X731</v>
          </cell>
        </row>
        <row r="186">
          <cell r="C186" t="str">
            <v>Chất tẩy gỉ thép</v>
          </cell>
        </row>
        <row r="187">
          <cell r="C187" t="str">
            <v>Chất tẩy gỉ B05</v>
          </cell>
        </row>
        <row r="188">
          <cell r="C188" t="str">
            <v>Chất tẩy gỉ GPS SP58</v>
          </cell>
        </row>
        <row r="189">
          <cell r="C189">
            <v>0</v>
          </cell>
        </row>
        <row r="190">
          <cell r="C190" t="str">
            <v>VẬT LIỆU CHỐNG THẤM, CHỐNG NHIỆT PHỤ</v>
          </cell>
        </row>
        <row r="191">
          <cell r="C191" t="str">
            <v>Băng cản nước</v>
          </cell>
        </row>
        <row r="192">
          <cell r="C192" t="str">
            <v>Sika Waterbar V15</v>
          </cell>
        </row>
        <row r="193">
          <cell r="C193" t="str">
            <v>Sika Waterbar V20</v>
          </cell>
        </row>
        <row r="194">
          <cell r="C194" t="str">
            <v>Sika Waterbar V25</v>
          </cell>
        </row>
        <row r="195">
          <cell r="C195" t="str">
            <v>Sika Waterbar V32</v>
          </cell>
        </row>
        <row r="196">
          <cell r="C196" t="str">
            <v>Nucetech Waterstop V200</v>
          </cell>
        </row>
        <row r="197">
          <cell r="C197" t="str">
            <v>Nucetech Waterstop V250</v>
          </cell>
        </row>
        <row r="198">
          <cell r="C198" t="str">
            <v>Nucetech Waterstop O200</v>
          </cell>
        </row>
        <row r="199">
          <cell r="C199" t="str">
            <v>Nucetech Waterstop O250</v>
          </cell>
        </row>
        <row r="200">
          <cell r="C200" t="str">
            <v>GPS Waterstop V150</v>
          </cell>
        </row>
        <row r="201">
          <cell r="C201" t="str">
            <v>GPS Waterstop V200</v>
          </cell>
        </row>
        <row r="202">
          <cell r="C202" t="str">
            <v>GPS Waterstop V250</v>
          </cell>
        </row>
        <row r="203">
          <cell r="C203" t="str">
            <v>GPS Waterstop V300</v>
          </cell>
        </row>
        <row r="204">
          <cell r="C204" t="str">
            <v>GPS Waterstop O150</v>
          </cell>
        </row>
        <row r="205">
          <cell r="C205" t="str">
            <v>GPS Waterstop O200</v>
          </cell>
        </row>
        <row r="206">
          <cell r="C206" t="str">
            <v>GPS Waterstop O250</v>
          </cell>
        </row>
        <row r="207">
          <cell r="C207" t="str">
            <v>GPS Waterstop O300</v>
          </cell>
        </row>
        <row r="208">
          <cell r="C208" t="str">
            <v>GPS Waterstop BO200</v>
          </cell>
        </row>
        <row r="209">
          <cell r="C209" t="str">
            <v>GPS Waterstop BO250, dày 3mm</v>
          </cell>
        </row>
        <row r="210">
          <cell r="C210" t="str">
            <v>GPS Waterstop BO250, dày 5mm</v>
          </cell>
        </row>
        <row r="211">
          <cell r="C211" t="str">
            <v>Vitec Waterstop PVC V150</v>
          </cell>
        </row>
        <row r="212">
          <cell r="C212" t="str">
            <v>Vitec Waterstop PVC V200</v>
          </cell>
        </row>
        <row r="213">
          <cell r="C213" t="str">
            <v>Vitec Waterstop PVC V250</v>
          </cell>
        </row>
        <row r="214">
          <cell r="C214" t="str">
            <v>Vitec Waterstop PVC V320</v>
          </cell>
        </row>
        <row r="215">
          <cell r="C215" t="str">
            <v>Băng cản nước Vitec PVC O200</v>
          </cell>
        </row>
        <row r="216">
          <cell r="C216" t="str">
            <v>Băng cản nước Vitec PVC V200</v>
          </cell>
        </row>
        <row r="217">
          <cell r="C217" t="str">
            <v>Băng trương nở</v>
          </cell>
        </row>
        <row r="218">
          <cell r="C218" t="str">
            <v>Sika Hydrotite CJ</v>
          </cell>
        </row>
        <row r="219">
          <cell r="C219" t="str">
            <v>Mucetech Hyperstop DB2015</v>
          </cell>
        </row>
        <row r="220">
          <cell r="C220" t="str">
            <v>Mucetech Hyperstop DB2519</v>
          </cell>
        </row>
        <row r="221">
          <cell r="C221" t="str">
            <v>Mucetech Hyperstop KK2015</v>
          </cell>
        </row>
        <row r="222">
          <cell r="C222" t="str">
            <v>GPS Hyperstop DB2015</v>
          </cell>
        </row>
        <row r="223">
          <cell r="C223" t="str">
            <v>GPS Hyperstop DB2519</v>
          </cell>
        </row>
        <row r="224">
          <cell r="C224" t="str">
            <v>GPS Hyperstop DB2010</v>
          </cell>
        </row>
        <row r="225">
          <cell r="C225" t="str">
            <v>Vitec Hyperstop DB2519</v>
          </cell>
        </row>
        <row r="226">
          <cell r="C226" t="str">
            <v>Màng HDPE</v>
          </cell>
        </row>
        <row r="227">
          <cell r="C227" t="str">
            <v>Màng HDPE dày 0,25cm</v>
          </cell>
        </row>
        <row r="228">
          <cell r="C228" t="str">
            <v>Màng HDPE dày 0,15cm</v>
          </cell>
        </row>
        <row r="229">
          <cell r="C229" t="str">
            <v>Màng PE</v>
          </cell>
        </row>
        <row r="230">
          <cell r="C230" t="str">
            <v>Vật liệu chống nhiệt</v>
          </cell>
        </row>
        <row r="231">
          <cell r="C231" t="str">
            <v>Cao su xốp Joint Filler</v>
          </cell>
        </row>
        <row r="232">
          <cell r="C232" t="str">
            <v>Sealant</v>
          </cell>
        </row>
        <row r="233">
          <cell r="C233">
            <v>0</v>
          </cell>
        </row>
        <row r="234">
          <cell r="C234" t="str">
            <v>VẬT LIỆU KẾT CẤU KIM LOẠI PHỤ</v>
          </cell>
        </row>
        <row r="235">
          <cell r="C235" t="str">
            <v>Bu lông</v>
          </cell>
        </row>
        <row r="236">
          <cell r="C236" t="str">
            <v>Bu lông nở</v>
          </cell>
        </row>
        <row r="237">
          <cell r="C237" t="str">
            <v>Bu lông neo</v>
          </cell>
        </row>
        <row r="238">
          <cell r="C238" t="str">
            <v>Bu lông liên kết</v>
          </cell>
        </row>
        <row r="239">
          <cell r="C239" t="str">
            <v>Bản mã</v>
          </cell>
        </row>
        <row r="240">
          <cell r="C240" t="str">
            <v>Bản mã neo</v>
          </cell>
        </row>
        <row r="241">
          <cell r="C241" t="str">
            <v>Bản mã liên kết</v>
          </cell>
        </row>
        <row r="242">
          <cell r="C242" t="str">
            <v>Grating</v>
          </cell>
        </row>
        <row r="243">
          <cell r="C243" t="str">
            <v>Thép V</v>
          </cell>
        </row>
        <row r="244">
          <cell r="C244" t="str">
            <v>Thép V 40x40x4x6000 đen</v>
          </cell>
        </row>
        <row r="245">
          <cell r="C245" t="str">
            <v>Thép V 50x50x4x6000 đen</v>
          </cell>
        </row>
        <row r="246">
          <cell r="C246" t="str">
            <v>Thép V 50x50x4x3000 đen</v>
          </cell>
        </row>
        <row r="247">
          <cell r="C247" t="str">
            <v>Thép V 50x50x4x6000 mạ kẽm</v>
          </cell>
        </row>
        <row r="248">
          <cell r="C248" t="str">
            <v>Thép V 50x50x4x3000 mạ kẽm</v>
          </cell>
        </row>
        <row r="249">
          <cell r="C249" t="str">
            <v>Thép V 50x50x5x6000 đen</v>
          </cell>
        </row>
        <row r="250">
          <cell r="C250" t="str">
            <v>Thép V 50x50x5x3000 đen</v>
          </cell>
        </row>
        <row r="251">
          <cell r="C251" t="str">
            <v>Thép V 50x50x5x6000 mạ kẽm</v>
          </cell>
        </row>
        <row r="252">
          <cell r="C252" t="str">
            <v>Thép V 50x50x5x3000 mạ kẽm</v>
          </cell>
        </row>
        <row r="253">
          <cell r="C253" t="str">
            <v>Thép V 75x75x7x3000 đen</v>
          </cell>
        </row>
        <row r="254">
          <cell r="C254" t="str">
            <v>Thép V 75x75x7x6000 mạ kẽm</v>
          </cell>
        </row>
        <row r="255">
          <cell r="C255">
            <v>0</v>
          </cell>
        </row>
        <row r="256">
          <cell r="C256" t="str">
            <v>VẬT LIỆU XÂY TRÁT PHỤ</v>
          </cell>
        </row>
        <row r="257">
          <cell r="C257" t="str">
            <v>Vật liệu trát</v>
          </cell>
        </row>
        <row r="258">
          <cell r="C258" t="str">
            <v>Gờ móc nước</v>
          </cell>
        </row>
        <row r="259">
          <cell r="C259" t="str">
            <v>Nẹp trát cột</v>
          </cell>
        </row>
        <row r="260">
          <cell r="C260" t="str">
            <v>Phào chân tường</v>
          </cell>
        </row>
        <row r="261">
          <cell r="C261" t="str">
            <v>Mũi bậc cầu thang</v>
          </cell>
        </row>
        <row r="262">
          <cell r="C262" t="str">
            <v>Lưới trát chống nứt</v>
          </cell>
        </row>
        <row r="263">
          <cell r="C263" t="str">
            <v>Nguyên vật liệu nhỏ lẻ</v>
          </cell>
        </row>
        <row r="264">
          <cell r="C264" t="str">
            <v>Z21: CÔNG CỤ DỤNG CỤ TIÊU HAO</v>
          </cell>
        </row>
        <row r="265">
          <cell r="C265" t="str">
            <v>CÔNG CỤ DỤNG CỤ QUẢN LÝ CHẤT LƯỢNG</v>
          </cell>
        </row>
        <row r="266">
          <cell r="C266" t="str">
            <v>Trang bị bảo hộ cán bộ</v>
          </cell>
        </row>
        <row r="267">
          <cell r="C267" t="str">
            <v>Áo bảo hộ cán bộ</v>
          </cell>
        </row>
        <row r="268">
          <cell r="C268" t="str">
            <v>Áo mưa cán bộ</v>
          </cell>
        </row>
        <row r="269">
          <cell r="C269" t="str">
            <v>Giầy bảo hộ Cán bộ</v>
          </cell>
        </row>
        <row r="270">
          <cell r="C270" t="str">
            <v>Kính bảo hộ Cán bộ</v>
          </cell>
        </row>
        <row r="271">
          <cell r="C271" t="str">
            <v>Mũ bảo hộ Cán bộ</v>
          </cell>
        </row>
        <row r="272">
          <cell r="C272" t="str">
            <v>Ủng bảo hộ Cán bộ</v>
          </cell>
        </row>
        <row r="273">
          <cell r="C273" t="str">
            <v>Quần áo bảo vệ</v>
          </cell>
        </row>
        <row r="274">
          <cell r="C274" t="str">
            <v>Trang bị bảo hộ công nhân</v>
          </cell>
        </row>
        <row r="275">
          <cell r="C275" t="str">
            <v>Áo bảo hộ công nhân</v>
          </cell>
        </row>
        <row r="276">
          <cell r="C276" t="str">
            <v>Mũ bảo hộ Công nhân</v>
          </cell>
        </row>
        <row r="277">
          <cell r="C277" t="str">
            <v>Giầy bảo hộ Công nhân</v>
          </cell>
        </row>
        <row r="278">
          <cell r="C278" t="str">
            <v>Ủng bảo hộ Công nhân</v>
          </cell>
        </row>
        <row r="279">
          <cell r="C279" t="str">
            <v>Dây đai an toàn 1 móc, không giảm chấn</v>
          </cell>
        </row>
        <row r="280">
          <cell r="C280" t="str">
            <v>Dây đai an toàn 2 móc, không giảm chấn</v>
          </cell>
        </row>
        <row r="281">
          <cell r="C281" t="str">
            <v>Dây đai an toàn 2 móc, có giảm chấn</v>
          </cell>
        </row>
        <row r="282">
          <cell r="C282" t="str">
            <v>Kính bảo hộ Công nhân</v>
          </cell>
        </row>
        <row r="283">
          <cell r="C283" t="str">
            <v>Băng chân</v>
          </cell>
        </row>
        <row r="284">
          <cell r="C284" t="str">
            <v>Áo mưa dùng 1 lần</v>
          </cell>
        </row>
        <row r="285">
          <cell r="C285" t="str">
            <v>Mặt nạ bảo hộ</v>
          </cell>
        </row>
        <row r="286">
          <cell r="C286" t="str">
            <v>Găng tay sợi</v>
          </cell>
        </row>
        <row r="287">
          <cell r="C287" t="str">
            <v>Công cụ dụng cụ HSE</v>
          </cell>
        </row>
        <row r="288">
          <cell r="C288" t="str">
            <v>Bình cứu hỏa CO2</v>
          </cell>
        </row>
        <row r="289">
          <cell r="C289" t="str">
            <v>Bình cứu hỏa bọt</v>
          </cell>
        </row>
        <row r="290">
          <cell r="C290" t="str">
            <v>Dây cảnh báo</v>
          </cell>
        </row>
        <row r="291">
          <cell r="C291" t="str">
            <v>Dây dù (dây cứu sinh) D16</v>
          </cell>
        </row>
        <row r="292">
          <cell r="C292" t="str">
            <v>Thang nhôm 4m</v>
          </cell>
        </row>
        <row r="293">
          <cell r="C293" t="str">
            <v>Thang nhôm 6m</v>
          </cell>
        </row>
        <row r="294">
          <cell r="C294" t="str">
            <v>Cáp cẩu nâng hạ, má ní, bộ đàm</v>
          </cell>
        </row>
        <row r="295">
          <cell r="C295" t="str">
            <v>Sling xích</v>
          </cell>
        </row>
        <row r="296">
          <cell r="C296" t="str">
            <v>Sling cáp</v>
          </cell>
        </row>
        <row r="297">
          <cell r="C297" t="str">
            <v>Mã ní</v>
          </cell>
        </row>
        <row r="298">
          <cell r="C298" t="str">
            <v xml:space="preserve">Bộ đàm </v>
          </cell>
        </row>
        <row r="299">
          <cell r="C299" t="str">
            <v xml:space="preserve">Máy thủy bình laser </v>
          </cell>
        </row>
        <row r="300">
          <cell r="C300" t="str">
            <v>Dụng cụ đo lường</v>
          </cell>
        </row>
        <row r="301">
          <cell r="C301" t="str">
            <v>Máy đo khoảng cách AGA TAPE 7</v>
          </cell>
        </row>
        <row r="302">
          <cell r="C302" t="str">
            <v>Máy đo khí MX 4 Iquad</v>
          </cell>
        </row>
        <row r="303">
          <cell r="C303" t="str">
            <v>Cân đồng hồ 100kg</v>
          </cell>
        </row>
        <row r="304">
          <cell r="C304" t="str">
            <v>Cân móc treo điện tử 5 tấn</v>
          </cell>
        </row>
        <row r="305">
          <cell r="C305">
            <v>0</v>
          </cell>
        </row>
        <row r="306">
          <cell r="C306" t="str">
            <v>CÔNG CỤ DỤNG CỤ QUẢN LÝ ATSKVSMT (HSE)</v>
          </cell>
        </row>
        <row r="307">
          <cell r="C307" t="str">
            <v>Lưới chống bụi, chống rơi công trình</v>
          </cell>
        </row>
        <row r="308">
          <cell r="C308" t="str">
            <v>Lưới chắn bụi HDPE 100g/m2, 3x50m</v>
          </cell>
        </row>
        <row r="309">
          <cell r="C309" t="str">
            <v>Lưới chắn bụi HDPE 120g/m2, 3x50m</v>
          </cell>
        </row>
        <row r="310">
          <cell r="C310" t="str">
            <v>Lưới che chắn</v>
          </cell>
        </row>
        <row r="311">
          <cell r="C311" t="str">
            <v>Lưới chống vật rơi</v>
          </cell>
        </row>
        <row r="312">
          <cell r="C312" t="str">
            <v>Lưới lan can</v>
          </cell>
        </row>
        <row r="313">
          <cell r="C313" t="str">
            <v>Lưới mắt cáo</v>
          </cell>
        </row>
        <row r="314">
          <cell r="C314" t="str">
            <v>Lưới lan can (loại 2) 990x590mm</v>
          </cell>
        </row>
        <row r="315">
          <cell r="C315" t="str">
            <v>Lưới lan can (loại 2) 990x1190mm</v>
          </cell>
        </row>
        <row r="316">
          <cell r="C316" t="str">
            <v>Lưới lan can (loại 2) 990x1490mm</v>
          </cell>
        </row>
        <row r="317">
          <cell r="C317" t="str">
            <v>Quạt thông hơi</v>
          </cell>
        </row>
        <row r="318">
          <cell r="C318" t="str">
            <v>Quạt hướng trục 0.74Kw</v>
          </cell>
        </row>
        <row r="319">
          <cell r="C319" t="str">
            <v>Quạt hướng trục 0.37Kw</v>
          </cell>
        </row>
        <row r="320">
          <cell r="C320" t="str">
            <v>Máy văn phòng</v>
          </cell>
        </row>
        <row r="321">
          <cell r="C321" t="str">
            <v>Máy chấm công</v>
          </cell>
        </row>
        <row r="322">
          <cell r="C322" t="str">
            <v>Máy in A4</v>
          </cell>
        </row>
        <row r="323">
          <cell r="C323" t="str">
            <v>Máy quẹt thẻ loại cảm ứng từ</v>
          </cell>
        </row>
        <row r="324">
          <cell r="C324" t="str">
            <v>Hệ camera an ninh</v>
          </cell>
        </row>
        <row r="325">
          <cell r="C325" t="str">
            <v>Biển an toàn có chân KC021(500x700)</v>
          </cell>
        </row>
        <row r="326">
          <cell r="C326" t="str">
            <v>CÔNG CỤ DỤNG CỤ THI CÔNG CÔNG TRÌNH TẠM</v>
          </cell>
        </row>
        <row r="327">
          <cell r="C327" t="str">
            <v>Hệ thống điện chiếu sáng</v>
          </cell>
        </row>
        <row r="328">
          <cell r="C328" t="str">
            <v>Đèn led pha 100w</v>
          </cell>
        </row>
        <row r="329">
          <cell r="C329" t="str">
            <v>Đèn led pha 200w</v>
          </cell>
        </row>
        <row r="330">
          <cell r="C330" t="str">
            <v>Bộ đèn metal philips 400w</v>
          </cell>
        </row>
        <row r="331">
          <cell r="C331" t="str">
            <v>Đèn pha nón 1000w</v>
          </cell>
        </row>
        <row r="332">
          <cell r="C332" t="str">
            <v>Bóng đèn Compact 40W</v>
          </cell>
        </row>
        <row r="333">
          <cell r="C333" t="str">
            <v>Đui đèn Compact 40W</v>
          </cell>
        </row>
        <row r="334">
          <cell r="C334" t="str">
            <v>Đèn tuýp đôi 1,2m</v>
          </cell>
        </row>
        <row r="335">
          <cell r="C335" t="str">
            <v>Đèn tuýp đơn 1,2m</v>
          </cell>
        </row>
        <row r="336">
          <cell r="C336" t="str">
            <v>Đèn tuýp đơn 0,6m</v>
          </cell>
        </row>
        <row r="337">
          <cell r="C337" t="str">
            <v>Bóng đèn metal 400w</v>
          </cell>
        </row>
        <row r="338">
          <cell r="C338" t="str">
            <v>Chấn lưu đèn metal 400w</v>
          </cell>
        </row>
        <row r="339">
          <cell r="C339" t="str">
            <v>Tụ đèn metal 400w</v>
          </cell>
        </row>
        <row r="340">
          <cell r="C340" t="str">
            <v>Đèn tuýp led 9w</v>
          </cell>
        </row>
        <row r="341">
          <cell r="C341" t="str">
            <v>CCDC điện tạm thi công chính</v>
          </cell>
        </row>
        <row r="342">
          <cell r="C342" t="str">
            <v>Ổ cắm công ngiệp 1 pha 16A</v>
          </cell>
        </row>
        <row r="343">
          <cell r="C343" t="str">
            <v>Ổ cắm công ngiệp 1 pha 32A</v>
          </cell>
        </row>
        <row r="344">
          <cell r="C344" t="str">
            <v>Ổ cắm công ngiệp 3 pha 16A</v>
          </cell>
        </row>
        <row r="345">
          <cell r="C345" t="str">
            <v>Ổ cắm công ngiệp 3 pha 32A</v>
          </cell>
        </row>
        <row r="346">
          <cell r="C346" t="str">
            <v>Ổ cắm công ngiệp 1 pha, chạc 3, 16A</v>
          </cell>
        </row>
        <row r="347">
          <cell r="C347" t="str">
            <v>Ổ cắm công ngiệp 3 pha, chạc 3, 16A</v>
          </cell>
        </row>
        <row r="348">
          <cell r="C348" t="str">
            <v>Phích cắm công nghiệp 1 pha</v>
          </cell>
        </row>
        <row r="349">
          <cell r="C349" t="str">
            <v>Phích cắm công nghiệp 3 pha</v>
          </cell>
        </row>
        <row r="350">
          <cell r="C350" t="str">
            <v>Dây điện CU-PVC, 2x1.5mm2</v>
          </cell>
        </row>
        <row r="351">
          <cell r="C351" t="str">
            <v>Dây điện CU-PVC, 2x2.5mm2</v>
          </cell>
        </row>
        <row r="352">
          <cell r="C352" t="str">
            <v>Dây điện CU-PVC, 3x1.5mm2</v>
          </cell>
        </row>
        <row r="353">
          <cell r="C353" t="str">
            <v>Dây điện CU-PVC, 3x2.5mm2</v>
          </cell>
        </row>
        <row r="354">
          <cell r="C354" t="str">
            <v>Dây điện CU-PVC, 2x4.0mm2</v>
          </cell>
        </row>
        <row r="355">
          <cell r="C355" t="str">
            <v>CCDC điện tạm thi công phụ</v>
          </cell>
        </row>
        <row r="356">
          <cell r="C356" t="str">
            <v>Công tơ điện 3 pha</v>
          </cell>
        </row>
        <row r="357">
          <cell r="C357" t="str">
            <v>Đầu cốt</v>
          </cell>
        </row>
        <row r="358">
          <cell r="C358" t="str">
            <v>Ổ cắm dân dụng</v>
          </cell>
        </row>
        <row r="359">
          <cell r="C359" t="str">
            <v>Phích cắm dân dụng</v>
          </cell>
        </row>
        <row r="360">
          <cell r="C360" t="str">
            <v>Vỏ tủ điện</v>
          </cell>
        </row>
        <row r="361">
          <cell r="C361" t="str">
            <v>Cột điện phụ D16x1,5m (đi dây thi công)</v>
          </cell>
        </row>
        <row r="362">
          <cell r="C362" t="str">
            <v>Quạt công nghiệp</v>
          </cell>
        </row>
        <row r="363">
          <cell r="C363" t="str">
            <v>Atomat 3 pha, 100A</v>
          </cell>
        </row>
        <row r="364">
          <cell r="C364" t="str">
            <v>Tủ điện chống mất pha DPOP50</v>
          </cell>
        </row>
        <row r="365">
          <cell r="C365" t="str">
            <v>Hệ thống cấp nước</v>
          </cell>
        </row>
        <row r="366">
          <cell r="C366" t="str">
            <v>Máy bơm chìm hút nước mặt 150W</v>
          </cell>
        </row>
        <row r="367">
          <cell r="C367" t="str">
            <v>Máy bơm cạn 1fa 0.75kw</v>
          </cell>
        </row>
        <row r="368">
          <cell r="C368" t="str">
            <v>Máy bơm cạn 1fa 1.5kw</v>
          </cell>
        </row>
        <row r="369">
          <cell r="C369" t="str">
            <v>Ống nước PPR D20</v>
          </cell>
        </row>
        <row r="370">
          <cell r="C370" t="str">
            <v>Ống nước PPR D25</v>
          </cell>
        </row>
        <row r="371">
          <cell r="C371" t="str">
            <v>Ống nước PPR D32</v>
          </cell>
        </row>
        <row r="372">
          <cell r="C372" t="str">
            <v>Ống nước PPR D40</v>
          </cell>
        </row>
        <row r="373">
          <cell r="C373" t="str">
            <v>Hệ thống thoát nước tạm</v>
          </cell>
        </row>
        <row r="374">
          <cell r="C374" t="str">
            <v>Ống nước UPVC D21</v>
          </cell>
        </row>
        <row r="375">
          <cell r="C375" t="str">
            <v>Ống nước UPVC D27</v>
          </cell>
        </row>
        <row r="376">
          <cell r="C376" t="str">
            <v>Ống nước UPVC D42</v>
          </cell>
        </row>
        <row r="377">
          <cell r="C377" t="str">
            <v>Ống nước UPVC D90</v>
          </cell>
        </row>
        <row r="378">
          <cell r="C378" t="str">
            <v>Ống nước UPVC D110</v>
          </cell>
        </row>
        <row r="379">
          <cell r="C379" t="str">
            <v>Ống nước UPVC D140</v>
          </cell>
        </row>
        <row r="380">
          <cell r="C380" t="str">
            <v>Ống bơm nước bạt xanh D50</v>
          </cell>
        </row>
        <row r="381">
          <cell r="C381" t="str">
            <v>Ống bơm nước bạt vàng cam D50</v>
          </cell>
        </row>
        <row r="382">
          <cell r="C382" t="str">
            <v>Ống bơm nước bạt vàng cam D150</v>
          </cell>
        </row>
        <row r="383">
          <cell r="C383" t="str">
            <v>Ống nước PVC D60</v>
          </cell>
        </row>
        <row r="384">
          <cell r="C384" t="str">
            <v>Ống bơm nước bạt D100</v>
          </cell>
        </row>
        <row r="385">
          <cell r="C385" t="str">
            <v>Dụng cụ lắp đặt điện nước tạm</v>
          </cell>
        </row>
        <row r="386">
          <cell r="C386" t="str">
            <v>Bộ cờ lê</v>
          </cell>
        </row>
        <row r="387">
          <cell r="C387" t="str">
            <v>Bộ Ecu, bulong, long đen</v>
          </cell>
        </row>
        <row r="388">
          <cell r="C388" t="str">
            <v>Bộ lục lăng</v>
          </cell>
        </row>
        <row r="389">
          <cell r="C389" t="str">
            <v>Bút thử điện</v>
          </cell>
        </row>
        <row r="390">
          <cell r="C390" t="str">
            <v>Đồng hồ đo điện</v>
          </cell>
        </row>
        <row r="391">
          <cell r="C391" t="str">
            <v>Kìm điện</v>
          </cell>
        </row>
        <row r="392">
          <cell r="C392" t="str">
            <v>Kìm ép cos</v>
          </cell>
        </row>
        <row r="393">
          <cell r="C393" t="str">
            <v>Tua vit</v>
          </cell>
        </row>
        <row r="394">
          <cell r="C394" t="str">
            <v>Kìm nước</v>
          </cell>
        </row>
        <row r="395">
          <cell r="C395" t="str">
            <v>Dụng cụ văn phòng tạm</v>
          </cell>
        </row>
        <row r="396">
          <cell r="C396" t="str">
            <v>Bàn làm việc 1400x600x750</v>
          </cell>
        </row>
        <row r="397">
          <cell r="C397" t="str">
            <v>Bàn họp 1500x800x750</v>
          </cell>
        </row>
        <row r="398">
          <cell r="C398" t="str">
            <v>Ghế ngồi làm việc</v>
          </cell>
        </row>
        <row r="399">
          <cell r="C399" t="str">
            <v>Bàn làm việc</v>
          </cell>
        </row>
        <row r="400">
          <cell r="C400" t="str">
            <v>Tủ để tài liệu</v>
          </cell>
        </row>
        <row r="401">
          <cell r="C401" t="str">
            <v>Bảng từ trắng</v>
          </cell>
        </row>
        <row r="402">
          <cell r="C402" t="str">
            <v>Giá để tài liệu</v>
          </cell>
        </row>
        <row r="403">
          <cell r="C403" t="str">
            <v>Máy phát điện tạm</v>
          </cell>
        </row>
        <row r="404">
          <cell r="C404" t="str">
            <v>Máy phát điện 60KVA</v>
          </cell>
        </row>
        <row r="405">
          <cell r="C405" t="str">
            <v>Máy phát điện 9,5KVA</v>
          </cell>
        </row>
        <row r="406">
          <cell r="C406" t="str">
            <v>Nhà vệ sinh tạm</v>
          </cell>
        </row>
        <row r="407">
          <cell r="C407" t="str">
            <v>Container Vệ sinh 20f</v>
          </cell>
        </row>
        <row r="408">
          <cell r="C408" t="str">
            <v>Container Vệ sinh 12f</v>
          </cell>
        </row>
        <row r="409">
          <cell r="C409" t="str">
            <v>Nhà vệ sinh tầng chuẩn hóa</v>
          </cell>
        </row>
        <row r="410">
          <cell r="C410" t="str">
            <v>Mái che tạm</v>
          </cell>
        </row>
        <row r="411">
          <cell r="C411" t="str">
            <v>Mái che trước cửa vận thăng loại 1</v>
          </cell>
        </row>
        <row r="412">
          <cell r="C412" t="str">
            <v>Mái che trước cửa vận thăng loại 2</v>
          </cell>
        </row>
        <row r="413">
          <cell r="C413" t="str">
            <v>Thiết bị văn phòng</v>
          </cell>
        </row>
        <row r="414">
          <cell r="C414" t="str">
            <v>Máy chiếu</v>
          </cell>
        </row>
        <row r="415">
          <cell r="C415" t="str">
            <v>Máy tính bàn</v>
          </cell>
        </row>
        <row r="416">
          <cell r="C416" t="str">
            <v>Ký túc xá cán bộ</v>
          </cell>
        </row>
        <row r="417">
          <cell r="C417" t="str">
            <v>Giường sắt 2 tầng</v>
          </cell>
        </row>
        <row r="418">
          <cell r="C418" t="str">
            <v>Bể nước bằng tôn</v>
          </cell>
        </row>
        <row r="419">
          <cell r="C419" t="str">
            <v>Bể nước tôn tấm 12m3</v>
          </cell>
        </row>
        <row r="420">
          <cell r="C420" t="str">
            <v>Bể nước tôn tấm 6m3</v>
          </cell>
        </row>
        <row r="421">
          <cell r="C421" t="str">
            <v>Bể nước tôn tấm 3.4m3</v>
          </cell>
        </row>
        <row r="422">
          <cell r="C422" t="str">
            <v>Thép tấm</v>
          </cell>
        </row>
        <row r="423">
          <cell r="C423" t="str">
            <v>Thép tấm 1500x6000x16</v>
          </cell>
        </row>
        <row r="424">
          <cell r="C424" t="str">
            <v>Thép tấm 2000x6000x16</v>
          </cell>
        </row>
        <row r="425">
          <cell r="C425" t="str">
            <v>Biển nhận diện thương hiệu</v>
          </cell>
        </row>
        <row r="426">
          <cell r="C426" t="str">
            <v>Biển KC001(3100x4680)</v>
          </cell>
        </row>
        <row r="427">
          <cell r="C427" t="str">
            <v>Biển KC002(3100x3300)</v>
          </cell>
        </row>
        <row r="428">
          <cell r="C428" t="str">
            <v>Biển KC003(1980x3100)</v>
          </cell>
        </row>
        <row r="429">
          <cell r="C429" t="str">
            <v>Biển KC004(2400x1650)</v>
          </cell>
        </row>
        <row r="430">
          <cell r="C430" t="str">
            <v>Biển KC005(900x1650)</v>
          </cell>
        </row>
        <row r="431">
          <cell r="C431" t="str">
            <v>Biển KC006(1800x1650)</v>
          </cell>
        </row>
        <row r="432">
          <cell r="C432" t="str">
            <v>Biển KC007(3000x1650)</v>
          </cell>
        </row>
        <row r="433">
          <cell r="C433" t="str">
            <v>Biển KC008(4000x12000)</v>
          </cell>
        </row>
        <row r="434">
          <cell r="C434" t="str">
            <v>Biển KC009(1000x5000)</v>
          </cell>
        </row>
        <row r="435">
          <cell r="C435" t="str">
            <v>Biển KC010(1380x5500)</v>
          </cell>
        </row>
        <row r="436">
          <cell r="C436" t="str">
            <v>Biển KC011(1600x10000)</v>
          </cell>
        </row>
        <row r="437">
          <cell r="C437" t="str">
            <v>Biển KC012(2600x1600)</v>
          </cell>
        </row>
        <row r="438">
          <cell r="C438" t="str">
            <v>Biển KC013(1600x1600)</v>
          </cell>
        </row>
        <row r="439">
          <cell r="C439" t="str">
            <v>Biển KC014(350x350)</v>
          </cell>
        </row>
        <row r="440">
          <cell r="C440" t="str">
            <v>Biển KC015(2500x3000)</v>
          </cell>
        </row>
        <row r="441">
          <cell r="C441" t="str">
            <v>Biển KC016(1000x1500)</v>
          </cell>
        </row>
        <row r="442">
          <cell r="C442" t="str">
            <v>Biển KC017(300x3000)</v>
          </cell>
        </row>
        <row r="443">
          <cell r="C443" t="str">
            <v>Biển KC018(1600x8180)</v>
          </cell>
        </row>
        <row r="444">
          <cell r="C444" t="str">
            <v>Biển KC019(550x2810)</v>
          </cell>
        </row>
        <row r="445">
          <cell r="C445" t="str">
            <v>Biển KC020(1000x5000)</v>
          </cell>
        </row>
        <row r="446">
          <cell r="C446" t="str">
            <v>Biển KC021(5000x15000)</v>
          </cell>
        </row>
        <row r="447">
          <cell r="C447" t="str">
            <v>CÔNG CỤ DỤNG CỤ THI CÔNG VÁN KHUÔN CHÍNH</v>
          </cell>
        </row>
        <row r="448">
          <cell r="C448" t="str">
            <v>Thép hộp 16x16</v>
          </cell>
        </row>
        <row r="449">
          <cell r="C449" t="str">
            <v>Thép hộp 16x16x1.4x6000 kẽm</v>
          </cell>
        </row>
        <row r="450">
          <cell r="C450" t="str">
            <v>Thép hộp 25x25</v>
          </cell>
        </row>
        <row r="451">
          <cell r="C451" t="str">
            <v>Thép hộp 25x25x1.4x6000 kẽm</v>
          </cell>
        </row>
        <row r="452">
          <cell r="C452" t="str">
            <v>Thép hộp 30x30</v>
          </cell>
        </row>
        <row r="453">
          <cell r="C453" t="str">
            <v>Thép hộp 30x30x1.4x6000 kẽm</v>
          </cell>
        </row>
        <row r="454">
          <cell r="C454" t="str">
            <v>Thép hộp 40x40</v>
          </cell>
        </row>
        <row r="455">
          <cell r="C455" t="str">
            <v>Thép hộp 40x40x1.4x6000 kẽm</v>
          </cell>
        </row>
        <row r="456">
          <cell r="C456" t="str">
            <v>Thép hộp 20x20</v>
          </cell>
        </row>
        <row r="457">
          <cell r="C457" t="str">
            <v>Thép hộp 20x20x1.4x6000</v>
          </cell>
        </row>
        <row r="458">
          <cell r="C458" t="str">
            <v>Thép hộp 50x50</v>
          </cell>
        </row>
        <row r="459">
          <cell r="C459" t="str">
            <v>Thép hộp 50x50x1.5x6000 đen (tiêu hao)</v>
          </cell>
        </row>
        <row r="460">
          <cell r="C460" t="str">
            <v>Thép hộp 50x50x1.5x6000 kẽm (tiêu hao)</v>
          </cell>
        </row>
        <row r="461">
          <cell r="C461" t="str">
            <v>Thép hộp 50x50 phi tiêu chuẩn</v>
          </cell>
        </row>
        <row r="462">
          <cell r="C462" t="str">
            <v>Thép hộp 100x50</v>
          </cell>
        </row>
        <row r="463">
          <cell r="C463" t="str">
            <v>Thép hộp 100x50x1.5x6000 đen (tiêu hao)</v>
          </cell>
        </row>
        <row r="464">
          <cell r="C464" t="str">
            <v>Thép hộp 100x50x1.5x6000 kẽm (tiêu hao)</v>
          </cell>
        </row>
        <row r="465">
          <cell r="C465" t="str">
            <v>Thép hộp 100x50 phi tiêu chuẩn</v>
          </cell>
        </row>
        <row r="466">
          <cell r="C466" t="str">
            <v>Thép ống D48</v>
          </cell>
        </row>
        <row r="467">
          <cell r="C467" t="str">
            <v>Ống thép mạ kẽm D48x6000 (tiêu hao)</v>
          </cell>
        </row>
        <row r="468">
          <cell r="C468" t="str">
            <v>Ống thép mạ kẽm D48 phi tiêu chuẩn</v>
          </cell>
        </row>
        <row r="469">
          <cell r="C469" t="str">
            <v>Ống thép mạ kẽm D42.2x1.4x6000 (tiêu hao)</v>
          </cell>
        </row>
        <row r="470">
          <cell r="C470" t="str">
            <v>Ống thép mạ kẽm D21x1.5x6000 (tiêu hao)</v>
          </cell>
        </row>
        <row r="471">
          <cell r="C471" t="str">
            <v>Ống thép mạ kẽm D21x1.4x6000 (tiêu hao)</v>
          </cell>
        </row>
        <row r="472">
          <cell r="C472" t="str">
            <v>Ống thép mạ kẽm D21x1.1x6000 (tiêu hao)</v>
          </cell>
        </row>
        <row r="473">
          <cell r="C473" t="str">
            <v>Thép ống D60</v>
          </cell>
        </row>
        <row r="474">
          <cell r="C474" t="str">
            <v>Ống thép mạ kẽm D60x2x6000 (tiêu hao)</v>
          </cell>
        </row>
        <row r="475">
          <cell r="C475" t="str">
            <v>Thép ống D114</v>
          </cell>
        </row>
        <row r="476">
          <cell r="C476" t="str">
            <v>Ống thép mạ kẽm D114x2.5x6000 (tiêu hao)</v>
          </cell>
        </row>
        <row r="477">
          <cell r="C477" t="str">
            <v>Ván ép phủ phim</v>
          </cell>
        </row>
        <row r="478">
          <cell r="C478" t="str">
            <v>Ván ép phủ phim 12mm</v>
          </cell>
        </row>
        <row r="479">
          <cell r="C479" t="str">
            <v>Ván ép phủ phim 15mm</v>
          </cell>
        </row>
        <row r="480">
          <cell r="C480" t="str">
            <v>Ván ép phủ phim 18mm</v>
          </cell>
        </row>
        <row r="481">
          <cell r="C481" t="str">
            <v>Ván ép phủ phim 20mm</v>
          </cell>
        </row>
        <row r="482">
          <cell r="C482" t="str">
            <v>Ván ép phủ keo</v>
          </cell>
        </row>
        <row r="483">
          <cell r="C483" t="str">
            <v>Ván ép phủ keo 12mm</v>
          </cell>
        </row>
        <row r="484">
          <cell r="C484" t="str">
            <v>Ván ép phủ keo 15mm</v>
          </cell>
        </row>
        <row r="485">
          <cell r="C485" t="str">
            <v>Ván ép phủ keo 18mm</v>
          </cell>
        </row>
        <row r="486">
          <cell r="C486" t="str">
            <v>Ván khuôn nhôm</v>
          </cell>
        </row>
        <row r="487">
          <cell r="C487" t="str">
            <v>Phụ kiện ván khuôn nhôm Kumkang</v>
          </cell>
        </row>
        <row r="488">
          <cell r="C488" t="str">
            <v>Chốt tròn (ván khuôn nhôm)</v>
          </cell>
        </row>
        <row r="489">
          <cell r="C489" t="str">
            <v>Chốt dẹt (ván khuôn nhôm)</v>
          </cell>
        </row>
        <row r="490">
          <cell r="C490" t="str">
            <v>Gông kẹp xà gồ (ván khuôn nhôm)</v>
          </cell>
        </row>
        <row r="491">
          <cell r="C491" t="str">
            <v>Chốt tròn dài (ván khuôn nhôm)</v>
          </cell>
        </row>
        <row r="492">
          <cell r="C492" t="str">
            <v>Chốt tròn ngắn (ván khuôn nhôm)</v>
          </cell>
        </row>
        <row r="493">
          <cell r="C493" t="str">
            <v>Nẹp nhôm (ván khuôn nhôm)</v>
          </cell>
        </row>
        <row r="494">
          <cell r="C494" t="str">
            <v>Cốc nhựa (ván khuôn nhôm)</v>
          </cell>
        </row>
        <row r="495">
          <cell r="C495" t="str">
            <v>Ty ren D12x300 (ván khuôn nhôm)</v>
          </cell>
        </row>
        <row r="496">
          <cell r="C496" t="str">
            <v>Bát vuông (ván khuôn nhôm)</v>
          </cell>
        </row>
        <row r="497">
          <cell r="C497" t="str">
            <v>Tai hồng (ván khuôn nhôm)</v>
          </cell>
        </row>
        <row r="498">
          <cell r="C498" t="str">
            <v>Neo (ván khuôn nhôm)</v>
          </cell>
        </row>
        <row r="499">
          <cell r="C499" t="str">
            <v>Dầu thải lăn cốp pha nhôm</v>
          </cell>
        </row>
        <row r="500">
          <cell r="C500" t="str">
            <v>Cáp thép</v>
          </cell>
        </row>
        <row r="501">
          <cell r="C501" t="str">
            <v>Cáp thép 10</v>
          </cell>
        </row>
        <row r="502">
          <cell r="C502" t="str">
            <v>Cáp thép 12</v>
          </cell>
        </row>
        <row r="503">
          <cell r="C503" t="str">
            <v>Cáp thép 14</v>
          </cell>
        </row>
        <row r="504">
          <cell r="C504" t="str">
            <v>Cáp thép 16</v>
          </cell>
        </row>
        <row r="505">
          <cell r="C505" t="str">
            <v>Tăng đơ</v>
          </cell>
        </row>
        <row r="506">
          <cell r="C506" t="str">
            <v>Tăng đơ 10</v>
          </cell>
        </row>
        <row r="507">
          <cell r="C507" t="str">
            <v>Tăng đơ 12</v>
          </cell>
        </row>
        <row r="508">
          <cell r="C508" t="str">
            <v>Tăng đơ 14</v>
          </cell>
        </row>
        <row r="509">
          <cell r="C509" t="str">
            <v>Tăng đơ 16</v>
          </cell>
        </row>
        <row r="510">
          <cell r="C510" t="str">
            <v>Tăng đơ 18</v>
          </cell>
        </row>
        <row r="511">
          <cell r="C511" t="str">
            <v>Khóa cáp</v>
          </cell>
        </row>
        <row r="512">
          <cell r="C512" t="str">
            <v>Khóa cáp 10</v>
          </cell>
        </row>
        <row r="513">
          <cell r="C513" t="str">
            <v>Khóa cáp 12</v>
          </cell>
        </row>
        <row r="514">
          <cell r="C514" t="str">
            <v>Khóa cáp 14</v>
          </cell>
        </row>
        <row r="515">
          <cell r="C515" t="str">
            <v>Khóa cáp 16</v>
          </cell>
        </row>
        <row r="516">
          <cell r="C516" t="str">
            <v>La dẹt</v>
          </cell>
        </row>
        <row r="517">
          <cell r="C517" t="str">
            <v>La dẹt W100</v>
          </cell>
        </row>
        <row r="518">
          <cell r="C518" t="str">
            <v>La dẹt W220</v>
          </cell>
        </row>
        <row r="519">
          <cell r="C519" t="str">
            <v>La dẹt W250</v>
          </cell>
        </row>
        <row r="520">
          <cell r="C520" t="str">
            <v>La dẹt W300</v>
          </cell>
        </row>
        <row r="521">
          <cell r="C521" t="str">
            <v>La dẹt W600</v>
          </cell>
        </row>
        <row r="522">
          <cell r="C522" t="str">
            <v>La dẹt W350</v>
          </cell>
        </row>
        <row r="523">
          <cell r="C523" t="str">
            <v>La dẹt W400</v>
          </cell>
        </row>
        <row r="524">
          <cell r="C524" t="str">
            <v>La dẹt W500</v>
          </cell>
        </row>
        <row r="525">
          <cell r="C525" t="str">
            <v>La dẹt W1100</v>
          </cell>
        </row>
        <row r="526">
          <cell r="C526" t="str">
            <v>La dẹt W150</v>
          </cell>
        </row>
        <row r="527">
          <cell r="C527" t="str">
            <v>La dẹt W1200</v>
          </cell>
        </row>
        <row r="528">
          <cell r="C528" t="str">
            <v>La dẹt W1300</v>
          </cell>
        </row>
        <row r="529">
          <cell r="C529" t="str">
            <v>La dẹt W1400</v>
          </cell>
        </row>
        <row r="530">
          <cell r="C530" t="str">
            <v>La dẹt W1500</v>
          </cell>
        </row>
        <row r="531">
          <cell r="C531" t="str">
            <v>La dẹt W200</v>
          </cell>
        </row>
        <row r="532">
          <cell r="C532" t="str">
            <v>La dẹt W110</v>
          </cell>
        </row>
        <row r="533">
          <cell r="C533" t="str">
            <v>La dẹt W450</v>
          </cell>
        </row>
        <row r="534">
          <cell r="C534" t="str">
            <v>La dẹt W550</v>
          </cell>
        </row>
        <row r="535">
          <cell r="C535" t="str">
            <v>La dẹt W650</v>
          </cell>
        </row>
        <row r="536">
          <cell r="C536" t="str">
            <v>La dẹt W1000</v>
          </cell>
        </row>
        <row r="537">
          <cell r="C537" t="str">
            <v>Ty ren</v>
          </cell>
        </row>
        <row r="538">
          <cell r="C538" t="str">
            <v>Ty ren D17</v>
          </cell>
        </row>
        <row r="539">
          <cell r="C539" t="str">
            <v>Ty ren D12</v>
          </cell>
        </row>
        <row r="540">
          <cell r="C540" t="str">
            <v>CÔNG CỤ DỤNG CỤ THI CÔNG VÁN KHUÔN PHỤ</v>
          </cell>
        </row>
        <row r="541">
          <cell r="C541" t="str">
            <v>Ống PVC xuyên ty</v>
          </cell>
        </row>
        <row r="542">
          <cell r="C542" t="str">
            <v>Ống nhựa D21</v>
          </cell>
        </row>
        <row r="543">
          <cell r="C543" t="str">
            <v xml:space="preserve">Đinh </v>
          </cell>
        </row>
        <row r="544">
          <cell r="C544" t="str">
            <v>Đinh bê tông</v>
          </cell>
        </row>
        <row r="545">
          <cell r="C545" t="str">
            <v>Đinh đen</v>
          </cell>
        </row>
        <row r="546">
          <cell r="C546" t="str">
            <v>CCDC thi công ván khuôn bằng gỗ</v>
          </cell>
        </row>
        <row r="547">
          <cell r="C547" t="str">
            <v>Xà gồ gỗ 20x30</v>
          </cell>
        </row>
        <row r="548">
          <cell r="C548" t="str">
            <v>Xà gồ gỗ 40x60</v>
          </cell>
        </row>
        <row r="549">
          <cell r="C549" t="str">
            <v>Xà gồ gỗ 80x100</v>
          </cell>
        </row>
        <row r="550">
          <cell r="C550" t="str">
            <v>Nẹp gỗ champher</v>
          </cell>
        </row>
        <row r="551">
          <cell r="C551" t="str">
            <v>Cây chống gỗ</v>
          </cell>
        </row>
        <row r="552">
          <cell r="C552" t="str">
            <v>Xà gồ gỗ 80x80</v>
          </cell>
        </row>
        <row r="553">
          <cell r="C553" t="str">
            <v>Máy hàn, que hàn</v>
          </cell>
        </row>
        <row r="554">
          <cell r="C554" t="str">
            <v>Máy hàn điện tử 1 pha</v>
          </cell>
        </row>
        <row r="555">
          <cell r="C555" t="str">
            <v>Máy hàn điện tử 3 pha</v>
          </cell>
        </row>
        <row r="556">
          <cell r="C556" t="str">
            <v>Máy hàn điện 3 pha 300A -380V</v>
          </cell>
        </row>
        <row r="557">
          <cell r="C557" t="str">
            <v>Dây hàn D16</v>
          </cell>
        </row>
        <row r="558">
          <cell r="C558" t="str">
            <v>Dây hàn D25</v>
          </cell>
        </row>
        <row r="559">
          <cell r="C559" t="str">
            <v>Que hàn 2,5</v>
          </cell>
        </row>
        <row r="560">
          <cell r="C560" t="str">
            <v>Que hàn 3,2</v>
          </cell>
        </row>
        <row r="561">
          <cell r="C561" t="str">
            <v>Que hàn 4</v>
          </cell>
        </row>
        <row r="562">
          <cell r="C562" t="str">
            <v>Máy công cụ</v>
          </cell>
        </row>
        <row r="563">
          <cell r="C563" t="str">
            <v>Máy cắt bàn Makita</v>
          </cell>
        </row>
        <row r="564">
          <cell r="C564" t="str">
            <v>Máy cưa gỗ Makita</v>
          </cell>
        </row>
        <row r="565">
          <cell r="C565" t="str">
            <v>Máy khoan Bosch (bắn vít)</v>
          </cell>
        </row>
        <row r="566">
          <cell r="C566" t="str">
            <v>Máy bắn vít</v>
          </cell>
        </row>
        <row r="567">
          <cell r="C567" t="str">
            <v>Máy đóng đai</v>
          </cell>
        </row>
        <row r="568">
          <cell r="C568" t="str">
            <v>Đá cắt</v>
          </cell>
        </row>
        <row r="569">
          <cell r="C569" t="str">
            <v>Đá cắt 350</v>
          </cell>
        </row>
        <row r="570">
          <cell r="C570" t="str">
            <v>Đá cắt 100</v>
          </cell>
        </row>
        <row r="571">
          <cell r="C571">
            <v>0</v>
          </cell>
        </row>
        <row r="572">
          <cell r="C572" t="str">
            <v xml:space="preserve">CÔNG CỤ DỤNG CỤ THI CÔNG CỐT THÉP </v>
          </cell>
        </row>
        <row r="573">
          <cell r="C573" t="str">
            <v>Máy cắt thép</v>
          </cell>
        </row>
        <row r="574">
          <cell r="C574" t="str">
            <v>Máy cắt sắt  GQ40</v>
          </cell>
        </row>
        <row r="575">
          <cell r="C575" t="str">
            <v>Máy cắt sắt  GQ50</v>
          </cell>
        </row>
        <row r="576">
          <cell r="C576" t="str">
            <v>Máy uốn thép</v>
          </cell>
        </row>
        <row r="577">
          <cell r="C577" t="str">
            <v>Máy uốn sắt GW40</v>
          </cell>
        </row>
        <row r="578">
          <cell r="C578" t="str">
            <v>Máy uốn sắt GW50</v>
          </cell>
        </row>
        <row r="579">
          <cell r="C579" t="str">
            <v>Máy duỗi thép</v>
          </cell>
        </row>
        <row r="580">
          <cell r="C580">
            <v>0</v>
          </cell>
        </row>
        <row r="581">
          <cell r="C581" t="str">
            <v xml:space="preserve">CÔNG CỤ DỤNG CỤ THI CÔNG BÊ TÔNG </v>
          </cell>
        </row>
        <row r="582">
          <cell r="C582" t="str">
            <v>Máy đầm dùi</v>
          </cell>
        </row>
        <row r="583">
          <cell r="C583" t="str">
            <v>Máy đầm dùi 1fa 1.38 kw</v>
          </cell>
        </row>
        <row r="584">
          <cell r="C584" t="str">
            <v>Máy đục bê tông</v>
          </cell>
        </row>
        <row r="585">
          <cell r="C585" t="str">
            <v>Máy đục Bosch</v>
          </cell>
        </row>
        <row r="586">
          <cell r="C586" t="str">
            <v>Máy đục Makita</v>
          </cell>
        </row>
        <row r="587">
          <cell r="C587" t="str">
            <v>Búa phá TB200 Nhật</v>
          </cell>
        </row>
        <row r="588">
          <cell r="C588" t="str">
            <v>Súng đục bê tông dùng khí nén G10</v>
          </cell>
        </row>
        <row r="589">
          <cell r="C589" t="str">
            <v>Máy khoan bê tông</v>
          </cell>
        </row>
        <row r="590">
          <cell r="C590" t="str">
            <v>Máy khoan bê tông</v>
          </cell>
        </row>
        <row r="591">
          <cell r="C591" t="str">
            <v>Máy khoan HILTI</v>
          </cell>
        </row>
        <row r="592">
          <cell r="C592" t="str">
            <v>Máy mài cầm tay</v>
          </cell>
        </row>
        <row r="593">
          <cell r="C593" t="str">
            <v>Máy mài D100 - Makita</v>
          </cell>
        </row>
        <row r="594">
          <cell r="C594" t="str">
            <v>Máy mài D250 - Makita</v>
          </cell>
        </row>
        <row r="595">
          <cell r="C595" t="str">
            <v>Máy cắt bê tông cầm tay</v>
          </cell>
        </row>
        <row r="596">
          <cell r="C596" t="str">
            <v>Máy cắt cầm tay Makita</v>
          </cell>
        </row>
        <row r="597">
          <cell r="C597" t="str">
            <v>Máy bơm chống thấm</v>
          </cell>
        </row>
        <row r="598">
          <cell r="C598" t="str">
            <v>Máy bơm áp lực chống thấm SL-500</v>
          </cell>
        </row>
        <row r="599">
          <cell r="C599" t="str">
            <v>Máy mài sàn, xoa nền</v>
          </cell>
        </row>
        <row r="600">
          <cell r="C600" t="str">
            <v>Máy cắt bê tông</v>
          </cell>
        </row>
        <row r="601">
          <cell r="C601" t="str">
            <v>Máy mài sàn</v>
          </cell>
        </row>
        <row r="602">
          <cell r="C602" t="str">
            <v>Máy xoa nền</v>
          </cell>
        </row>
        <row r="603">
          <cell r="C603" t="str">
            <v>Ni lông bảo dưỡng</v>
          </cell>
        </row>
        <row r="604">
          <cell r="C604" t="str">
            <v>Ni lông bảo dưỡng</v>
          </cell>
        </row>
        <row r="605">
          <cell r="C605" t="str">
            <v>Máy đầm nền</v>
          </cell>
        </row>
        <row r="606">
          <cell r="C606" t="str">
            <v>Máy đầm bàn động cơ xăng</v>
          </cell>
        </row>
        <row r="607">
          <cell r="C607" t="str">
            <v xml:space="preserve">Máy đầm bàn động cơ điện </v>
          </cell>
        </row>
        <row r="608">
          <cell r="C608" t="str">
            <v>Máy đầm cóc</v>
          </cell>
        </row>
        <row r="609">
          <cell r="C609">
            <v>0</v>
          </cell>
        </row>
        <row r="610">
          <cell r="C610" t="str">
            <v>CÔNG CỤ DỤNG CỤ THI CÔNG XÂY TRÁT</v>
          </cell>
        </row>
        <row r="611">
          <cell r="C611" t="str">
            <v>Máy trộn vữa</v>
          </cell>
        </row>
        <row r="612">
          <cell r="C612" t="str">
            <v>Máy trộn bê tông nghiêng 250</v>
          </cell>
        </row>
        <row r="613">
          <cell r="C613" t="str">
            <v>Máy trộn bê tông nghiêng 350</v>
          </cell>
        </row>
        <row r="614">
          <cell r="C614" t="str">
            <v>Máng trộn vữa</v>
          </cell>
        </row>
        <row r="615">
          <cell r="C615" t="str">
            <v>Vận chuyển nguyên vật liệu</v>
          </cell>
        </row>
        <row r="616">
          <cell r="C616" t="str">
            <v>Xe nâng tay</v>
          </cell>
        </row>
        <row r="617">
          <cell r="C617" t="str">
            <v>Palet xếp, cẩu gạch</v>
          </cell>
        </row>
        <row r="618">
          <cell r="C618" t="str">
            <v>Phụ kiện giáo xây trát</v>
          </cell>
        </row>
        <row r="619">
          <cell r="C619" t="str">
            <v>Bánh xe giáo hoàn thiện</v>
          </cell>
        </row>
        <row r="620">
          <cell r="C620" t="str">
            <v>Ống tuýp gông giáo bao che D48</v>
          </cell>
        </row>
        <row r="621">
          <cell r="C621" t="str">
            <v xml:space="preserve">Ống ren D34 </v>
          </cell>
        </row>
        <row r="622">
          <cell r="C622" t="str">
            <v>Công cụ dụng cụ tiêu hao nhỏ lẻ</v>
          </cell>
        </row>
        <row r="623">
          <cell r="C623" t="str">
            <v>Z22: CÔNG CỤ DỤNG CỤ, TSCD</v>
          </cell>
        </row>
        <row r="624">
          <cell r="C624" t="str">
            <v>NHÓM A: KIỂM SOÁT CHẶT</v>
          </cell>
        </row>
        <row r="625">
          <cell r="C625" t="str">
            <v>THIẾT BỊ VẬN CHUYỂN NGANG NHÓM A</v>
          </cell>
        </row>
        <row r="626">
          <cell r="C626" t="str">
            <v>Cẩu tự hành 10T</v>
          </cell>
        </row>
        <row r="627">
          <cell r="C627" t="str">
            <v>Cẩu tự hành 10T BKS 29M1 05111</v>
          </cell>
        </row>
        <row r="628">
          <cell r="C628" t="str">
            <v>Xe nâng máy</v>
          </cell>
        </row>
        <row r="629">
          <cell r="C629" t="str">
            <v>Xe nâng 3T, động cơ điezen</v>
          </cell>
        </row>
        <row r="630">
          <cell r="C630">
            <v>0</v>
          </cell>
        </row>
        <row r="631">
          <cell r="C631" t="str">
            <v>THIẾT BỊ VẬN CHUYỂN ĐỨNG NHÓM A</v>
          </cell>
        </row>
        <row r="632">
          <cell r="C632" t="str">
            <v>Cẩu tháp</v>
          </cell>
        </row>
        <row r="633">
          <cell r="C633" t="str">
            <v>Vận thăng</v>
          </cell>
        </row>
        <row r="634">
          <cell r="C634" t="str">
            <v>Vận thăng lồng 2x2000kg, 51m/ph (không đốt, gông, giằng)</v>
          </cell>
        </row>
        <row r="635">
          <cell r="C635" t="str">
            <v>Vận thăng lồng 2x1000kg, 38m/ph (không đốt, gông, giằng)</v>
          </cell>
        </row>
        <row r="636">
          <cell r="C636" t="str">
            <v>Phụ kiện Vận thăng lồng</v>
          </cell>
        </row>
        <row r="637">
          <cell r="C637" t="str">
            <v>Đốt vận thăng lồng 650x650x1508</v>
          </cell>
        </row>
        <row r="638">
          <cell r="C638" t="str">
            <v>Giằng gông vận thăng lồng</v>
          </cell>
        </row>
        <row r="639">
          <cell r="C639">
            <v>0</v>
          </cell>
        </row>
        <row r="640">
          <cell r="C640" t="str">
            <v>THIẾT BỊ THI CÔNG VÁN KHUÔN NHÓM A</v>
          </cell>
        </row>
        <row r="641">
          <cell r="C641" t="str">
            <v>Thép hộp 50x50</v>
          </cell>
        </row>
        <row r="642">
          <cell r="C642" t="str">
            <v>Thép hộp 50x50x6000</v>
          </cell>
        </row>
        <row r="643">
          <cell r="C643" t="str">
            <v>Thép hộp 50x50x4000</v>
          </cell>
        </row>
        <row r="644">
          <cell r="C644" t="str">
            <v>Thép hộp 50x50x3000</v>
          </cell>
        </row>
        <row r="645">
          <cell r="C645" t="str">
            <v>Thép hộp 50x50x2000</v>
          </cell>
        </row>
        <row r="646">
          <cell r="C646" t="str">
            <v>Thép hộp 50x50x1500</v>
          </cell>
        </row>
        <row r="647">
          <cell r="C647" t="str">
            <v>Thép hộp 50x50x1000</v>
          </cell>
        </row>
        <row r="648">
          <cell r="C648" t="str">
            <v>Ống thép mạ kẽm</v>
          </cell>
        </row>
        <row r="649">
          <cell r="C649" t="str">
            <v>Ống thép mạ kẽm D48.3x1.8x6000mm</v>
          </cell>
        </row>
        <row r="650">
          <cell r="C650" t="str">
            <v>Thép hộp 50x100</v>
          </cell>
        </row>
        <row r="651">
          <cell r="C651" t="str">
            <v>Thép hộp 100x50x6000</v>
          </cell>
        </row>
        <row r="652">
          <cell r="C652" t="str">
            <v>Thép hộp 100x50x4000</v>
          </cell>
        </row>
        <row r="653">
          <cell r="C653" t="str">
            <v>Thép hộp 100x50x3000</v>
          </cell>
        </row>
        <row r="654">
          <cell r="C654" t="str">
            <v>Thép hộp 100x50x2000</v>
          </cell>
        </row>
        <row r="655">
          <cell r="C655" t="str">
            <v>Thép hộp 100x50x1500</v>
          </cell>
        </row>
        <row r="656">
          <cell r="C656" t="str">
            <v>Hệ ván khuôn nhôm</v>
          </cell>
        </row>
        <row r="657">
          <cell r="C657" t="str">
            <v>Hệ ván khuôn nhôm Kumkang</v>
          </cell>
        </row>
        <row r="658">
          <cell r="C658" t="str">
            <v>Cây chống đơn</v>
          </cell>
        </row>
        <row r="659">
          <cell r="C659" t="str">
            <v>Cây chống thép 3.5m (phần Ngọn)</v>
          </cell>
        </row>
        <row r="660">
          <cell r="C660" t="str">
            <v>Cây chống thép 3.5m (phần Gốc)</v>
          </cell>
        </row>
        <row r="661">
          <cell r="C661">
            <v>0</v>
          </cell>
        </row>
        <row r="662">
          <cell r="C662" t="str">
            <v>THIẾT BỊ GIÀN GIÁO CHỊU LỰC NHÓM A</v>
          </cell>
        </row>
        <row r="663">
          <cell r="C663" t="str">
            <v>Giáo Nêm</v>
          </cell>
        </row>
        <row r="664">
          <cell r="C664" t="str">
            <v>Thanh đứng giáo Nêm 1 m</v>
          </cell>
        </row>
        <row r="665">
          <cell r="C665" t="str">
            <v>Thanh đứng giáo Nêm 1.5m</v>
          </cell>
        </row>
        <row r="666">
          <cell r="C666" t="str">
            <v>Thanh đứng giáo Nêm 2.5m</v>
          </cell>
        </row>
        <row r="667">
          <cell r="C667" t="str">
            <v>Thanh đứng giáo Nêm 3m</v>
          </cell>
        </row>
        <row r="668">
          <cell r="C668" t="str">
            <v>Thanh giằng ngang giáo Nêm 0,6m</v>
          </cell>
        </row>
        <row r="669">
          <cell r="C669" t="str">
            <v>Thanh giằng ngang giáo Nêm 1,2m</v>
          </cell>
        </row>
        <row r="670">
          <cell r="C670" t="str">
            <v>Giáo Pal</v>
          </cell>
        </row>
        <row r="671">
          <cell r="C671" t="str">
            <v>Giáo Pal mạ kẽm 1m</v>
          </cell>
        </row>
        <row r="672">
          <cell r="C672" t="str">
            <v>Giằng chéo giáo pal mạ kẽm 1.7m</v>
          </cell>
        </row>
        <row r="673">
          <cell r="C673" t="str">
            <v>Giằng ngang giáo Pal mạ kẽm 1.2m</v>
          </cell>
        </row>
        <row r="674">
          <cell r="C674" t="str">
            <v>Giáo Ring</v>
          </cell>
        </row>
        <row r="675">
          <cell r="C675" t="str">
            <v>Thanh đứng giáo Ring D48, 3x2.5x2500</v>
          </cell>
        </row>
        <row r="676">
          <cell r="C676" t="str">
            <v>Thanh đứng giáo Ring D48, 3x2.5x1500</v>
          </cell>
        </row>
        <row r="677">
          <cell r="C677" t="str">
            <v>Thanh đứng giáo Ring D48, 3x2.5x1000</v>
          </cell>
        </row>
        <row r="678">
          <cell r="C678" t="str">
            <v>Thanh giằng ngang giáo Ring D42x2x1200</v>
          </cell>
        </row>
        <row r="679">
          <cell r="C679" t="str">
            <v>Thanh giằng ngang giáo Ring D42x2x600</v>
          </cell>
        </row>
        <row r="680">
          <cell r="C680" t="str">
            <v>Phụ kiện giáo Ring</v>
          </cell>
        </row>
        <row r="681">
          <cell r="C681" t="str">
            <v>Kích đầu D38</v>
          </cell>
        </row>
        <row r="682">
          <cell r="C682" t="str">
            <v>Kích chân D38</v>
          </cell>
        </row>
        <row r="683">
          <cell r="C683" t="str">
            <v>Bát kích ngược</v>
          </cell>
        </row>
        <row r="684">
          <cell r="C684" t="str">
            <v>Thanh chống đà D48x2.5x1200</v>
          </cell>
        </row>
        <row r="685">
          <cell r="C685" t="str">
            <v>Kích chân D38x500</v>
          </cell>
        </row>
        <row r="686">
          <cell r="C686" t="str">
            <v>Kích đầu D38x500</v>
          </cell>
        </row>
        <row r="687">
          <cell r="C687" t="str">
            <v>Ống nối giáo</v>
          </cell>
        </row>
        <row r="688">
          <cell r="C688" t="str">
            <v>Giáo Sucoot</v>
          </cell>
        </row>
        <row r="689">
          <cell r="C689" t="str">
            <v>Thanh đứng giáo Sucoot D60, 2x3.2x3000</v>
          </cell>
        </row>
        <row r="690">
          <cell r="C690" t="str">
            <v>Thanh đứng giáo Sucoot D60, 2x3.2x1000</v>
          </cell>
        </row>
        <row r="691">
          <cell r="C691" t="str">
            <v>Thanh đứng giáo Sucoot D60, 2x3.2x1500</v>
          </cell>
        </row>
        <row r="692">
          <cell r="C692" t="str">
            <v>Thanh đứng giáo Sucoot D60, 2x3.2x2000</v>
          </cell>
        </row>
        <row r="693">
          <cell r="C693" t="str">
            <v>Thanh ngang giáo Sucoot D48, 2x2.5x600</v>
          </cell>
        </row>
        <row r="694">
          <cell r="C694" t="str">
            <v>Thanh ngang giáo Sucoot D48, 2x2.5x900</v>
          </cell>
        </row>
        <row r="695">
          <cell r="C695" t="str">
            <v>Thanh ngang giáo Sucoot D48, 2x2.5x1500</v>
          </cell>
        </row>
        <row r="696">
          <cell r="C696" t="str">
            <v>Thanh xiên giáo Sucoot D48, 2x2.5x1600</v>
          </cell>
        </row>
        <row r="697">
          <cell r="C697" t="str">
            <v>Thanh xiên giáo Sucoot D48, 2x2.5x1700</v>
          </cell>
        </row>
        <row r="698">
          <cell r="C698" t="str">
            <v>Thanh xiên giáo Sucoot D48, 2x2.5x2000</v>
          </cell>
        </row>
        <row r="699">
          <cell r="C699" t="str">
            <v>Kích chân giáo Sucoot D48, 2x2.5x600</v>
          </cell>
        </row>
        <row r="700">
          <cell r="C700" t="str">
            <v>Kích đầu giáo Sucoot D48, 2x2.5x600</v>
          </cell>
        </row>
        <row r="701">
          <cell r="C701" t="str">
            <v>Đoạn D60, 2x3.2x200</v>
          </cell>
        </row>
        <row r="702">
          <cell r="C702" t="str">
            <v>Ống nối giáo Sucot 50x50x2.5x300</v>
          </cell>
        </row>
        <row r="703">
          <cell r="C703">
            <v>0</v>
          </cell>
        </row>
        <row r="704">
          <cell r="C704" t="str">
            <v>THIẾT BỊ THI CÔNG BÊ TÔNG NHÓM A</v>
          </cell>
        </row>
        <row r="705">
          <cell r="C705" t="str">
            <v>Cần phân phối bê tông</v>
          </cell>
        </row>
        <row r="706">
          <cell r="C706" t="str">
            <v>Bơm cần bê tông</v>
          </cell>
        </row>
        <row r="707">
          <cell r="C707" t="str">
            <v>Bơm tĩnh bê tông</v>
          </cell>
        </row>
        <row r="708">
          <cell r="C708" t="str">
            <v>THIẾT BỊ GIÀN GIÁO HOÀN THIỆN NHÓM A</v>
          </cell>
        </row>
        <row r="709">
          <cell r="C709" t="str">
            <v>Thép ống D48</v>
          </cell>
        </row>
        <row r="710">
          <cell r="C710" t="str">
            <v>Ống thép mạ kẽm D48x6000</v>
          </cell>
        </row>
        <row r="711">
          <cell r="C711" t="str">
            <v>Ống thép mạ kẽm D48x4000</v>
          </cell>
        </row>
        <row r="712">
          <cell r="C712" t="str">
            <v>Ống thép mạ kẽm D48x3000</v>
          </cell>
        </row>
        <row r="713">
          <cell r="C713" t="str">
            <v>Ống thép mạ kẽm D48x2000</v>
          </cell>
        </row>
        <row r="714">
          <cell r="C714" t="str">
            <v>Ống thép mạ kẽm D48x1500</v>
          </cell>
        </row>
        <row r="715">
          <cell r="C715" t="str">
            <v>Khóa ống tĩnh D48x48</v>
          </cell>
        </row>
        <row r="716">
          <cell r="C716" t="str">
            <v xml:space="preserve">Khóa ống xoay D48x48 </v>
          </cell>
        </row>
        <row r="717">
          <cell r="C717" t="str">
            <v>Thép ống mạ kẽm</v>
          </cell>
        </row>
        <row r="718">
          <cell r="C718" t="str">
            <v>Ống thép mạ kẽm D33.5x1.4x6000mm</v>
          </cell>
        </row>
        <row r="719">
          <cell r="C719" t="str">
            <v>Ống thép mạ kẽm D26.65x1.4x6000mm</v>
          </cell>
        </row>
        <row r="720">
          <cell r="C720" t="str">
            <v>Giáo H</v>
          </cell>
        </row>
        <row r="721">
          <cell r="C721" t="str">
            <v>Giáo H, 1200x1700</v>
          </cell>
        </row>
        <row r="722">
          <cell r="C722" t="str">
            <v>Giáo H, 900x1700</v>
          </cell>
        </row>
        <row r="723">
          <cell r="C723" t="str">
            <v>Giằng chéo giáo H</v>
          </cell>
        </row>
        <row r="724">
          <cell r="C724" t="str">
            <v xml:space="preserve">Mâm giáo, cầu thang giáo </v>
          </cell>
        </row>
        <row r="725">
          <cell r="C725" t="str">
            <v>Mâm giáo 360x1600</v>
          </cell>
        </row>
        <row r="726">
          <cell r="C726" t="str">
            <v>Mâm giáo 210x1600</v>
          </cell>
        </row>
        <row r="727">
          <cell r="C727" t="str">
            <v>Cầu thang giáo H</v>
          </cell>
        </row>
        <row r="728">
          <cell r="C728" t="str">
            <v>Phụ kiện giáo bao che</v>
          </cell>
        </row>
        <row r="729">
          <cell r="C729" t="str">
            <v>Dầm consol đỡ giáo bao che I150x1700</v>
          </cell>
        </row>
        <row r="730">
          <cell r="C730" t="str">
            <v>Dầm consol đỡ giáo bao che I150x3400</v>
          </cell>
        </row>
        <row r="731">
          <cell r="C731" t="str">
            <v>Dầm consol đỡ giáo bao che I150x4000</v>
          </cell>
        </row>
        <row r="732">
          <cell r="C732" t="str">
            <v>Thang lưới chắn vật rơi D48x4000</v>
          </cell>
        </row>
        <row r="733">
          <cell r="C733" t="str">
            <v>Ống tuýp gông giáo bao che D48</v>
          </cell>
        </row>
        <row r="734">
          <cell r="C734" t="str">
            <v>Kích chân D34</v>
          </cell>
        </row>
        <row r="735">
          <cell r="C735" t="str">
            <v>Dầm consol đỡ giáo bao che I150x1300</v>
          </cell>
        </row>
        <row r="736">
          <cell r="C736">
            <v>0</v>
          </cell>
        </row>
        <row r="737">
          <cell r="C737" t="str">
            <v>THIẾT BỊ HÀNH CHÍNH HỖ TRỢ NHÓM A</v>
          </cell>
        </row>
        <row r="738">
          <cell r="C738" t="str">
            <v>Di chuyển, đi lại nhân sự</v>
          </cell>
        </row>
        <row r="739">
          <cell r="C739" t="str">
            <v>Xe Pickup Toyota Hilux E, BKS 29C - 10726</v>
          </cell>
        </row>
        <row r="740">
          <cell r="C740">
            <v>0</v>
          </cell>
        </row>
        <row r="741">
          <cell r="C741">
            <v>0</v>
          </cell>
        </row>
        <row r="742">
          <cell r="C742" t="str">
            <v>NHÓM B: KIỂM SOÁT TRUNG BÌNH</v>
          </cell>
        </row>
        <row r="743">
          <cell r="C743" t="str">
            <v>THIẾT BỊ VẬN CHUYỂN ĐỨNG NHÓM B</v>
          </cell>
        </row>
        <row r="744">
          <cell r="C744" t="str">
            <v>Sàn chuyển vật liệu</v>
          </cell>
        </row>
        <row r="745">
          <cell r="C745" t="str">
            <v>Sàn chuyển vật liệu loại 1</v>
          </cell>
        </row>
        <row r="746">
          <cell r="C746">
            <v>0</v>
          </cell>
        </row>
        <row r="747">
          <cell r="C747" t="str">
            <v>THIẾT BỊ QUẢN LÝ CHẤT LƯỢNG NHÓM B</v>
          </cell>
        </row>
        <row r="748">
          <cell r="C748" t="str">
            <v>Máy trắc đạc</v>
          </cell>
        </row>
        <row r="749">
          <cell r="C749" t="str">
            <v>Máy toàn đạc điện tử</v>
          </cell>
        </row>
        <row r="750">
          <cell r="C750" t="str">
            <v>Máy thủy bình</v>
          </cell>
        </row>
        <row r="751">
          <cell r="C751">
            <v>0</v>
          </cell>
        </row>
        <row r="752">
          <cell r="C752" t="str">
            <v>THIẾT BỊ QUẢN LÝ ATSKVSMT (HSE) NHÓM B</v>
          </cell>
        </row>
        <row r="753">
          <cell r="C753" t="str">
            <v xml:space="preserve">Lan can an toàn </v>
          </cell>
        </row>
        <row r="754">
          <cell r="C754" t="str">
            <v>Chân đứng lan can 50x50x1100</v>
          </cell>
        </row>
        <row r="755">
          <cell r="C755" t="str">
            <v>Chân đứng lan can D48x900</v>
          </cell>
        </row>
        <row r="756">
          <cell r="C756" t="str">
            <v>Chân lan can chữ A (D48x570x1000)</v>
          </cell>
        </row>
        <row r="757">
          <cell r="C757" t="str">
            <v>Cửa lan can thang máy KT(900-1500)x1200</v>
          </cell>
        </row>
        <row r="758">
          <cell r="C758" t="str">
            <v>Tấm khung lan can 1000x1500</v>
          </cell>
        </row>
        <row r="759">
          <cell r="C759" t="str">
            <v>Tấm khung lan can 1000x1200</v>
          </cell>
        </row>
        <row r="760">
          <cell r="C760" t="str">
            <v>Tấm khung lan can 1000x600</v>
          </cell>
        </row>
        <row r="761">
          <cell r="C761" t="str">
            <v>Cút nối lan can thang bộ</v>
          </cell>
        </row>
        <row r="762">
          <cell r="C762" t="str">
            <v>Bậc thang làm lối lên xuống 900x250</v>
          </cell>
        </row>
        <row r="763">
          <cell r="C763" t="str">
            <v>Thiết bị kiểm soát an ninh</v>
          </cell>
        </row>
        <row r="764">
          <cell r="C764" t="str">
            <v>Cổng chính công trường</v>
          </cell>
        </row>
        <row r="765">
          <cell r="C765" t="str">
            <v>Máy quẹt thẻ loại 3 tay quay</v>
          </cell>
        </row>
        <row r="766">
          <cell r="C766">
            <v>0</v>
          </cell>
        </row>
        <row r="767">
          <cell r="C767" t="str">
            <v>THIẾT BỊ CÔNG TRÌNH TẠM NHÓM B</v>
          </cell>
        </row>
        <row r="768">
          <cell r="C768" t="str">
            <v>Văn phòng tạm</v>
          </cell>
        </row>
        <row r="769">
          <cell r="C769" t="str">
            <v>Container VP 40f chuẩn hóa</v>
          </cell>
        </row>
        <row r="770">
          <cell r="C770" t="str">
            <v>Container VP 20f chuẩn hóa</v>
          </cell>
        </row>
        <row r="771">
          <cell r="C771" t="str">
            <v>Container Họp 20f</v>
          </cell>
        </row>
        <row r="772">
          <cell r="C772" t="str">
            <v>Kho tạm</v>
          </cell>
        </row>
        <row r="773">
          <cell r="C773" t="str">
            <v>Container Kho 20f</v>
          </cell>
        </row>
        <row r="774">
          <cell r="C774" t="str">
            <v>Bãi gia công</v>
          </cell>
        </row>
        <row r="775">
          <cell r="C775" t="str">
            <v>Giá kê thép loại 1</v>
          </cell>
        </row>
        <row r="776">
          <cell r="C776" t="str">
            <v>Bàn lăn thép loại 1</v>
          </cell>
        </row>
        <row r="777">
          <cell r="C777" t="str">
            <v>Khu vận thăng</v>
          </cell>
        </row>
        <row r="778">
          <cell r="C778" t="str">
            <v>Cửa vận thăng tầng 800x2000</v>
          </cell>
        </row>
        <row r="779">
          <cell r="C779" t="str">
            <v>Tủ điện tạm</v>
          </cell>
        </row>
        <row r="780">
          <cell r="C780" t="str">
            <v>Tủ điện tổng MDP400</v>
          </cell>
        </row>
        <row r="781">
          <cell r="C781" t="str">
            <v>Tủ điện tổng MDP250</v>
          </cell>
        </row>
        <row r="782">
          <cell r="C782" t="str">
            <v>Tủ điện phân phối LDP400</v>
          </cell>
        </row>
        <row r="783">
          <cell r="C783" t="str">
            <v>Tủ điện phân phối LDP250</v>
          </cell>
        </row>
        <row r="784">
          <cell r="C784" t="str">
            <v>Tủ thi công cho các hạng mục DPTC100</v>
          </cell>
        </row>
        <row r="785">
          <cell r="C785" t="str">
            <v>Tủ điện bãi gia công DPWS100</v>
          </cell>
        </row>
        <row r="786">
          <cell r="C786" t="str">
            <v>Tủ điện nhà văn phòng</v>
          </cell>
        </row>
        <row r="787">
          <cell r="C787" t="str">
            <v>Tủ điện thi công DPTC40</v>
          </cell>
        </row>
        <row r="788">
          <cell r="C788" t="str">
            <v>Cáp điện tạm</v>
          </cell>
        </row>
        <row r="789">
          <cell r="C789" t="str">
            <v>Cáp đồng treo 'Cu/xlpe/pvc 3x35+1x16mm2</v>
          </cell>
        </row>
        <row r="790">
          <cell r="C790" t="str">
            <v>Cáp đồng treo  'Cu/xlpe/pvc 3x95+1x50mm2</v>
          </cell>
        </row>
        <row r="791">
          <cell r="C791" t="str">
            <v>Cáp đồng treo  'Cu/xlpe/pvc 3x150+1x70mm2</v>
          </cell>
        </row>
        <row r="792">
          <cell r="C792" t="str">
            <v>Cáp nhôm vặn xoắn 'Al/ABC 4x70mm2</v>
          </cell>
        </row>
        <row r="793">
          <cell r="C793" t="str">
            <v>Cáp nhôm 'Al/pvc 4x150mm2</v>
          </cell>
        </row>
        <row r="794">
          <cell r="C794" t="str">
            <v>Máy bơm thoát nước</v>
          </cell>
        </row>
        <row r="795">
          <cell r="C795" t="str">
            <v>Máy bơm chìm 3fa 5,5kw (BCH55.20m)</v>
          </cell>
        </row>
        <row r="796">
          <cell r="C796" t="str">
            <v>Máy bơm chìm 3fa 7,5kw (BCH75.20m)</v>
          </cell>
        </row>
        <row r="797">
          <cell r="C797" t="str">
            <v>Máy bơm chìm 3fa 11kw (BCH110.20m)</v>
          </cell>
        </row>
        <row r="798">
          <cell r="C798" t="str">
            <v>Máy bơm chìm 3fa 11kw, cột áp 40m (BCH11</v>
          </cell>
        </row>
        <row r="799">
          <cell r="C799" t="str">
            <v>Máy bơm chìm hỏa tiễn 3fa 11kw (BCH110.H</v>
          </cell>
        </row>
        <row r="800">
          <cell r="C800" t="str">
            <v>Máy bơm cấp nước</v>
          </cell>
        </row>
        <row r="801">
          <cell r="C801" t="str">
            <v>Máy bơm đẩy cao tầng 3fa 5,5kw (BDC55)</v>
          </cell>
        </row>
        <row r="802">
          <cell r="C802" t="str">
            <v>Máy bơm đẩy cao tầng 3fa 11kw (BDC110)</v>
          </cell>
        </row>
        <row r="803">
          <cell r="C803" t="str">
            <v>Máy bơm rửa xe</v>
          </cell>
        </row>
        <row r="804">
          <cell r="C804" t="str">
            <v>Máy bơm rửa xe 3fa 11kw (BRX110)</v>
          </cell>
        </row>
        <row r="805">
          <cell r="C805" t="str">
            <v>Máy bơm rửa xe 3fa 5,5kw (BRX55)</v>
          </cell>
        </row>
        <row r="806">
          <cell r="C806">
            <v>0</v>
          </cell>
        </row>
        <row r="807">
          <cell r="C807" t="str">
            <v>THIẾT BỊ THI CÔNG VÁN KHUÔN NHÓM B</v>
          </cell>
        </row>
        <row r="808">
          <cell r="C808" t="str">
            <v>Máy xịt rửa</v>
          </cell>
        </row>
        <row r="809">
          <cell r="C809" t="str">
            <v>Máy bơm xịt vệ sinh ván khuôn 3fa 7,5kw</v>
          </cell>
        </row>
        <row r="810">
          <cell r="C810" t="str">
            <v>Máy nén khí động cơ điện 3fa 7,5kw (MNK7</v>
          </cell>
        </row>
        <row r="811">
          <cell r="C811" t="str">
            <v>Máy nén khí động cơ điện 3fa 15kw (MNK15</v>
          </cell>
        </row>
        <row r="812">
          <cell r="C812" t="str">
            <v>Máy nén khí trục vít 3fa 15kw</v>
          </cell>
        </row>
        <row r="813">
          <cell r="C813" t="str">
            <v>Máy nén khí động cơ điện 3 fa 3,7kw</v>
          </cell>
        </row>
        <row r="814">
          <cell r="C814">
            <v>0</v>
          </cell>
        </row>
        <row r="815">
          <cell r="C815">
            <v>0</v>
          </cell>
        </row>
        <row r="816">
          <cell r="C816" t="str">
            <v>NHÓM C: KIỂM SOÁT LỎNG</v>
          </cell>
        </row>
        <row r="817">
          <cell r="C817" t="str">
            <v>THIẾT BỊ QUẢN LÝ ATSKVSMT (HSE) NHÓM C</v>
          </cell>
        </row>
        <row r="818">
          <cell r="C818" t="str">
            <v>Máy xịt rửa giầy</v>
          </cell>
        </row>
        <row r="819">
          <cell r="C819" t="str">
            <v>Máy xịt rửa giầy tự chế ECB.01</v>
          </cell>
        </row>
        <row r="820">
          <cell r="C820">
            <v>0</v>
          </cell>
        </row>
        <row r="821">
          <cell r="C821" t="str">
            <v>THIẾT BỊ CÔNG TRÌNH TẠM NHÓM C</v>
          </cell>
        </row>
        <row r="822">
          <cell r="C822" t="str">
            <v>Hệ thống cổng, hàng rào tạm</v>
          </cell>
        </row>
        <row r="823">
          <cell r="C823" t="str">
            <v>Cổng phụ</v>
          </cell>
        </row>
        <row r="824">
          <cell r="C824" t="str">
            <v>Nhà bảo vệ</v>
          </cell>
        </row>
        <row r="825">
          <cell r="C825" t="str">
            <v>Chòi bảo vệ</v>
          </cell>
        </row>
        <row r="826">
          <cell r="C826" t="str">
            <v>Cầu rửa xe</v>
          </cell>
        </row>
        <row r="827">
          <cell r="C827" t="str">
            <v>Cầu rửa xe loại 1</v>
          </cell>
        </row>
        <row r="828">
          <cell r="C828" t="str">
            <v>Máy bơm thoát nước</v>
          </cell>
        </row>
        <row r="829">
          <cell r="C829" t="str">
            <v>Máy bơm chìm 1fa 1,5kw</v>
          </cell>
        </row>
        <row r="830">
          <cell r="C830" t="str">
            <v>Máy bơm chìm 3fa 2,2kw</v>
          </cell>
        </row>
        <row r="831">
          <cell r="C831" t="str">
            <v>Máy đầm, bơm nước động cơ xăng GX160</v>
          </cell>
        </row>
        <row r="832">
          <cell r="C832" t="str">
            <v>Cột điện, đèn chiếu sáng tạm</v>
          </cell>
        </row>
        <row r="833">
          <cell r="C833" t="str">
            <v>Cột lắp đèn chiếu sáng D48x6000</v>
          </cell>
        </row>
        <row r="834">
          <cell r="C834" t="str">
            <v>Cột lắp đèn chiếu sáng  D48x3000</v>
          </cell>
        </row>
        <row r="835">
          <cell r="C835" t="str">
            <v>Cột lắp đèn chiếu sáng D48x1000</v>
          </cell>
        </row>
        <row r="836">
          <cell r="C836" t="str">
            <v>Cột điện chính D63x4500</v>
          </cell>
        </row>
        <row r="837">
          <cell r="C837" t="str">
            <v>Cột điện phụ D48x2000</v>
          </cell>
        </row>
        <row r="838">
          <cell r="C838" t="str">
            <v>Cột đỡ cáp qua đường D48x6000</v>
          </cell>
        </row>
        <row r="839">
          <cell r="C839">
            <v>0</v>
          </cell>
        </row>
        <row r="840">
          <cell r="C840" t="str">
            <v>THIẾT BỊ THI CÔNG NỀN ĐẤT NHÓM C</v>
          </cell>
        </row>
        <row r="841">
          <cell r="C841" t="str">
            <v>THIẾT BỊ THI CÔNG VÁN KHUÔN NHÓM C</v>
          </cell>
        </row>
        <row r="842">
          <cell r="C842" t="str">
            <v>Ty ren, bản mã</v>
          </cell>
        </row>
        <row r="843">
          <cell r="C843" t="str">
            <v>Bát ty M12</v>
          </cell>
        </row>
        <row r="844">
          <cell r="C844" t="str">
            <v>Bát ty M17</v>
          </cell>
        </row>
        <row r="845">
          <cell r="C845">
            <v>0</v>
          </cell>
        </row>
        <row r="846">
          <cell r="C846" t="str">
            <v>THIẾT BỊ THI CÔNG BÊ TÔNG NHÓM C</v>
          </cell>
        </row>
        <row r="847">
          <cell r="C847" t="str">
            <v>Phễu đổ bê tông</v>
          </cell>
        </row>
        <row r="848">
          <cell r="C848" t="str">
            <v>Phễu đổ bê tông 0.6m3</v>
          </cell>
        </row>
        <row r="849">
          <cell r="C849" t="str">
            <v>Phễu đổ bê tông 0.9m3</v>
          </cell>
        </row>
      </sheetData>
      <sheetData sheetId="5"/>
      <sheetData sheetId="6"/>
      <sheetData sheetId="7"/>
      <sheetData sheetId="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zoomScale="110" zoomScaleNormal="110" workbookViewId="0">
      <selection activeCell="S26" sqref="S26"/>
    </sheetView>
  </sheetViews>
  <sheetFormatPr defaultColWidth="6.5703125" defaultRowHeight="15"/>
  <cols>
    <col min="1" max="14" width="8.5703125" style="1" customWidth="1"/>
    <col min="15" max="16" width="6.5703125" style="1"/>
    <col min="17" max="17" width="10.5703125" style="5" customWidth="1"/>
    <col min="18" max="16384" width="6.5703125" style="1"/>
  </cols>
  <sheetData>
    <row r="1" spans="1:17" ht="18.75">
      <c r="A1" s="41" t="e" vm="1">
        <v>#VALUE!</v>
      </c>
      <c r="B1" s="41"/>
      <c r="C1" s="41"/>
      <c r="D1" s="41"/>
      <c r="E1" s="3" t="s">
        <v>45</v>
      </c>
      <c r="Q1" s="1"/>
    </row>
    <row r="2" spans="1:17" ht="15.75" customHeight="1">
      <c r="A2" s="41"/>
      <c r="B2" s="41"/>
      <c r="C2" s="41"/>
      <c r="D2" s="41"/>
      <c r="E2" s="1" t="s">
        <v>40</v>
      </c>
      <c r="Q2" s="1"/>
    </row>
    <row r="3" spans="1:17" ht="15.75" customHeight="1">
      <c r="A3" s="41"/>
      <c r="B3" s="41"/>
      <c r="C3" s="41"/>
      <c r="D3" s="41"/>
      <c r="E3" s="1" t="s">
        <v>41</v>
      </c>
      <c r="Q3" s="1"/>
    </row>
    <row r="4" spans="1:17" ht="15.75" customHeight="1">
      <c r="A4" s="41"/>
      <c r="B4" s="41"/>
      <c r="C4" s="41"/>
      <c r="D4" s="41"/>
      <c r="E4" s="1" t="s">
        <v>42</v>
      </c>
      <c r="I4" s="8"/>
      <c r="Q4" s="1"/>
    </row>
    <row r="5" spans="1:17" ht="15.75" customHeight="1" thickBot="1">
      <c r="A5" s="42"/>
      <c r="B5" s="42"/>
      <c r="C5" s="42"/>
      <c r="D5" s="42"/>
      <c r="E5" s="4" t="s">
        <v>43</v>
      </c>
      <c r="F5" s="4"/>
      <c r="G5" s="4"/>
      <c r="H5" s="4"/>
      <c r="I5" s="9" t="s">
        <v>44</v>
      </c>
      <c r="J5" s="4"/>
      <c r="K5" s="4"/>
      <c r="L5" s="4"/>
      <c r="M5" s="4"/>
      <c r="N5" s="4"/>
      <c r="Q5" s="1"/>
    </row>
    <row r="6" spans="1:17" ht="14.45" customHeight="1">
      <c r="K6" s="7" t="s">
        <v>1</v>
      </c>
      <c r="L6" s="38" t="s">
        <v>24</v>
      </c>
      <c r="M6" s="1" t="s">
        <v>56</v>
      </c>
    </row>
    <row r="7" spans="1:17">
      <c r="K7" s="7" t="s">
        <v>0</v>
      </c>
      <c r="L7" s="44">
        <v>46031</v>
      </c>
      <c r="M7" s="44"/>
      <c r="N7" s="44"/>
    </row>
    <row r="8" spans="1:17" ht="6.75" customHeight="1">
      <c r="K8" s="7"/>
      <c r="L8" s="12"/>
      <c r="M8" s="12"/>
      <c r="N8" s="12"/>
    </row>
    <row r="9" spans="1:17" ht="23.25" customHeight="1">
      <c r="A9" s="45" t="s">
        <v>11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0"/>
    </row>
    <row r="10" spans="1:17" ht="7.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40"/>
    </row>
    <row r="11" spans="1:17" ht="15.75">
      <c r="A11" s="28" t="s">
        <v>31</v>
      </c>
      <c r="B11" s="15"/>
      <c r="C11" s="15"/>
    </row>
    <row r="12" spans="1:17" ht="15.75">
      <c r="A12" s="28" t="s">
        <v>32</v>
      </c>
      <c r="B12" s="15"/>
      <c r="C12" s="15"/>
    </row>
    <row r="13" spans="1:17" ht="15.75">
      <c r="A13" s="28" t="s">
        <v>9</v>
      </c>
      <c r="B13" s="15"/>
      <c r="C13" s="15"/>
    </row>
    <row r="14" spans="1:17" ht="6.75" customHeight="1">
      <c r="A14" s="15"/>
      <c r="B14" s="15"/>
      <c r="C14" s="15"/>
    </row>
    <row r="15" spans="1:17" ht="15.75">
      <c r="A15" s="16" t="s">
        <v>33</v>
      </c>
      <c r="B15" s="15"/>
      <c r="C15" s="15"/>
    </row>
    <row r="16" spans="1:17" ht="4.5" customHeight="1">
      <c r="A16" s="16"/>
      <c r="B16" s="15"/>
      <c r="C16" s="15"/>
    </row>
    <row r="17" spans="1:17" ht="15.75">
      <c r="A17" s="29" t="s">
        <v>3</v>
      </c>
      <c r="B17" s="15"/>
      <c r="C17" s="15"/>
      <c r="D17" s="2" t="s">
        <v>34</v>
      </c>
      <c r="J17" s="2"/>
      <c r="K17" s="2" t="s">
        <v>35</v>
      </c>
    </row>
    <row r="18" spans="1:17" ht="15.75">
      <c r="A18" s="30" t="s">
        <v>4</v>
      </c>
      <c r="B18" s="16"/>
      <c r="C18" s="16"/>
      <c r="D18" s="10" t="s">
        <v>36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15.75">
      <c r="A19" s="16"/>
      <c r="B19" s="16"/>
      <c r="C19" s="16"/>
      <c r="D19" s="16" t="s">
        <v>25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15.75">
      <c r="A20" s="30" t="s">
        <v>5</v>
      </c>
      <c r="B20" s="16"/>
      <c r="C20" s="16"/>
      <c r="D20" s="39" t="s">
        <v>26</v>
      </c>
      <c r="E20" s="39"/>
      <c r="F20" s="39" t="s">
        <v>27</v>
      </c>
      <c r="G20" s="39"/>
      <c r="H20" s="10" t="s">
        <v>8</v>
      </c>
      <c r="I20" s="39" t="s">
        <v>26</v>
      </c>
      <c r="J20" s="39"/>
      <c r="K20" s="39" t="s">
        <v>27</v>
      </c>
      <c r="L20" s="39"/>
      <c r="M20" s="10"/>
      <c r="N20" s="10"/>
      <c r="O20" s="10"/>
      <c r="P20" s="10"/>
      <c r="Q20" s="10"/>
    </row>
    <row r="21" spans="1:17" ht="15.75">
      <c r="A21" s="30" t="s">
        <v>6</v>
      </c>
      <c r="B21" s="16"/>
      <c r="C21" s="16"/>
      <c r="D21" s="39" t="s">
        <v>26</v>
      </c>
      <c r="E21" s="39"/>
      <c r="F21" s="39" t="s">
        <v>27</v>
      </c>
      <c r="G21" s="39"/>
      <c r="H21" s="10" t="s">
        <v>8</v>
      </c>
      <c r="I21" s="39" t="s">
        <v>26</v>
      </c>
      <c r="J21" s="39"/>
      <c r="K21" s="39" t="s">
        <v>27</v>
      </c>
      <c r="L21" s="39"/>
      <c r="M21" s="10"/>
      <c r="N21" s="10"/>
      <c r="O21" s="10"/>
      <c r="P21" s="10"/>
      <c r="Q21" s="10"/>
    </row>
    <row r="22" spans="1:17" ht="15.75">
      <c r="A22" s="30"/>
      <c r="B22" s="16"/>
      <c r="C22" s="16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15.75">
      <c r="A23" s="29" t="s">
        <v>10</v>
      </c>
      <c r="B23" s="15"/>
      <c r="C23" s="15"/>
      <c r="D23" s="2" t="s">
        <v>37</v>
      </c>
      <c r="J23" s="2"/>
      <c r="K23" s="2" t="s">
        <v>38</v>
      </c>
      <c r="L23" s="10"/>
      <c r="M23" s="10"/>
      <c r="N23" s="10"/>
      <c r="O23" s="10"/>
      <c r="P23" s="10"/>
      <c r="Q23" s="10"/>
    </row>
    <row r="24" spans="1:17" ht="15.75">
      <c r="A24" s="30" t="s">
        <v>30</v>
      </c>
      <c r="B24" s="16"/>
      <c r="C24" s="16"/>
      <c r="D24" s="10" t="s">
        <v>39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15.75">
      <c r="A25" s="16"/>
      <c r="B25" s="16"/>
      <c r="C25" s="16"/>
      <c r="D25" s="16" t="s">
        <v>42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15.75">
      <c r="A26" s="30" t="s">
        <v>5</v>
      </c>
      <c r="B26" s="16"/>
      <c r="C26" s="16"/>
      <c r="D26" s="10" t="s">
        <v>46</v>
      </c>
      <c r="E26" s="10"/>
      <c r="F26" s="10"/>
      <c r="G26" s="10"/>
      <c r="H26" s="10" t="s">
        <v>8</v>
      </c>
      <c r="I26" s="10" t="s">
        <v>47</v>
      </c>
      <c r="J26" s="10"/>
      <c r="K26" s="10"/>
      <c r="L26" s="10"/>
      <c r="M26" s="10"/>
      <c r="N26" s="10"/>
      <c r="O26" s="10"/>
      <c r="P26" s="10"/>
      <c r="Q26" s="10"/>
    </row>
    <row r="27" spans="1:17" ht="15.75">
      <c r="A27" s="30" t="s">
        <v>6</v>
      </c>
      <c r="B27" s="16"/>
      <c r="C27" s="16"/>
      <c r="D27" s="10" t="s">
        <v>7</v>
      </c>
      <c r="E27" s="10"/>
      <c r="F27" s="10"/>
      <c r="G27" s="10"/>
      <c r="H27" s="10" t="s">
        <v>8</v>
      </c>
      <c r="I27" s="10" t="s">
        <v>7</v>
      </c>
      <c r="J27" s="10"/>
      <c r="K27" s="10"/>
      <c r="L27" s="10"/>
      <c r="M27" s="10"/>
      <c r="N27" s="10"/>
      <c r="O27" s="10"/>
      <c r="P27" s="10"/>
      <c r="Q27" s="10"/>
    </row>
    <row r="28" spans="1:17" ht="7.5" customHeight="1">
      <c r="A28" s="30"/>
      <c r="B28" s="16"/>
      <c r="C28" s="16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ht="8.1" customHeight="1">
      <c r="A29" s="30"/>
      <c r="B29" s="16"/>
      <c r="C29" s="16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15.75">
      <c r="A30" s="18" t="s">
        <v>48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ht="9" customHeight="1">
      <c r="A31" s="10"/>
      <c r="B31" s="10"/>
      <c r="C31" s="10"/>
      <c r="D31" s="10"/>
      <c r="E31" s="10"/>
      <c r="F31" s="10"/>
      <c r="G31" s="10"/>
      <c r="H31" s="34"/>
      <c r="I31" s="10"/>
      <c r="J31" s="10"/>
      <c r="K31" s="10"/>
      <c r="L31" s="10"/>
      <c r="M31" s="10"/>
      <c r="N31" s="10"/>
      <c r="O31" s="10"/>
      <c r="P31" s="10"/>
      <c r="Q31" s="10"/>
    </row>
    <row r="32" spans="1:17" s="10" customFormat="1" ht="17.45" customHeight="1">
      <c r="A32" s="31" t="s">
        <v>12</v>
      </c>
    </row>
    <row r="33" spans="1:14" s="10" customFormat="1" ht="17.45" customHeight="1">
      <c r="A33" s="17"/>
      <c r="B33" s="6" t="s">
        <v>60</v>
      </c>
      <c r="E33" s="10" t="s">
        <v>7</v>
      </c>
      <c r="F33" s="46"/>
      <c r="G33" s="46"/>
      <c r="H33" s="46"/>
      <c r="I33" s="6" t="s">
        <v>13</v>
      </c>
    </row>
    <row r="34" spans="1:14" s="10" customFormat="1" ht="17.45" hidden="1" customHeight="1">
      <c r="A34" s="17"/>
      <c r="B34" s="19" t="s">
        <v>16</v>
      </c>
      <c r="F34" s="21"/>
      <c r="G34" s="21"/>
      <c r="H34" s="21"/>
    </row>
    <row r="35" spans="1:14" s="10" customFormat="1" ht="17.45" hidden="1" customHeight="1">
      <c r="A35" s="17"/>
      <c r="B35" s="20" t="s">
        <v>15</v>
      </c>
      <c r="E35" s="10" t="s">
        <v>7</v>
      </c>
      <c r="F35" s="47">
        <v>0</v>
      </c>
      <c r="G35" s="47"/>
      <c r="H35" s="47"/>
      <c r="I35" s="10" t="s">
        <v>13</v>
      </c>
    </row>
    <row r="36" spans="1:14" s="10" customFormat="1" ht="17.45" hidden="1" customHeight="1">
      <c r="A36" s="17"/>
      <c r="B36" s="20" t="s">
        <v>17</v>
      </c>
      <c r="E36" s="10" t="s">
        <v>7</v>
      </c>
      <c r="F36" s="47">
        <v>0</v>
      </c>
      <c r="G36" s="47"/>
      <c r="H36" s="47"/>
      <c r="I36" s="10" t="s">
        <v>13</v>
      </c>
    </row>
    <row r="37" spans="1:14" s="10" customFormat="1" ht="17.45" customHeight="1">
      <c r="A37" s="31" t="s">
        <v>14</v>
      </c>
      <c r="F37" s="23"/>
      <c r="G37" s="23"/>
      <c r="H37" s="23"/>
    </row>
    <row r="38" spans="1:14" s="10" customFormat="1" ht="17.45" customHeight="1">
      <c r="A38" s="17"/>
      <c r="B38" s="6" t="s">
        <v>28</v>
      </c>
      <c r="E38" s="10" t="s">
        <v>7</v>
      </c>
      <c r="F38" s="48"/>
      <c r="G38" s="48"/>
      <c r="H38" s="48"/>
      <c r="I38" s="6" t="s">
        <v>13</v>
      </c>
    </row>
    <row r="39" spans="1:14" s="10" customFormat="1" ht="17.45" hidden="1" customHeight="1">
      <c r="A39" s="17"/>
      <c r="B39" s="20" t="s">
        <v>15</v>
      </c>
      <c r="E39" s="10" t="s">
        <v>7</v>
      </c>
      <c r="F39" s="47">
        <v>56001171083</v>
      </c>
      <c r="G39" s="47"/>
      <c r="H39" s="47"/>
      <c r="I39" s="10" t="s">
        <v>13</v>
      </c>
    </row>
    <row r="40" spans="1:14" s="10" customFormat="1" ht="17.45" hidden="1" customHeight="1">
      <c r="A40" s="17"/>
      <c r="B40" s="20" t="s">
        <v>17</v>
      </c>
      <c r="E40" s="10" t="s">
        <v>7</v>
      </c>
      <c r="F40" s="47">
        <v>0</v>
      </c>
      <c r="G40" s="47"/>
      <c r="H40" s="47"/>
      <c r="I40" s="10" t="s">
        <v>13</v>
      </c>
    </row>
    <row r="41" spans="1:14" s="6" customFormat="1" ht="17.45" customHeight="1">
      <c r="A41" s="31"/>
      <c r="B41" s="6" t="s">
        <v>29</v>
      </c>
      <c r="E41" s="6" t="s">
        <v>7</v>
      </c>
      <c r="F41" s="48"/>
      <c r="G41" s="48"/>
      <c r="H41" s="48"/>
      <c r="I41" s="6" t="s">
        <v>13</v>
      </c>
    </row>
    <row r="42" spans="1:14" s="10" customFormat="1" ht="17.45" customHeight="1">
      <c r="A42" s="31" t="s">
        <v>23</v>
      </c>
      <c r="B42" s="14"/>
      <c r="F42" s="23"/>
      <c r="G42" s="23"/>
      <c r="H42" s="23"/>
    </row>
    <row r="43" spans="1:14" s="10" customFormat="1" ht="17.45" customHeight="1">
      <c r="A43" s="17"/>
      <c r="B43" s="6" t="s">
        <v>61</v>
      </c>
      <c r="E43" s="10" t="s">
        <v>7</v>
      </c>
      <c r="F43" s="46">
        <f>(F33-F38+F41)</f>
        <v>0</v>
      </c>
      <c r="G43" s="46"/>
      <c r="H43" s="46"/>
      <c r="I43" s="6" t="s">
        <v>13</v>
      </c>
    </row>
    <row r="44" spans="1:14" ht="8.25" customHeight="1">
      <c r="A44" s="7"/>
      <c r="B44" s="13"/>
      <c r="C44" s="10"/>
      <c r="D44" s="10"/>
      <c r="F44" s="22"/>
      <c r="G44" s="22"/>
      <c r="H44" s="22"/>
    </row>
    <row r="45" spans="1:14" ht="17.45" customHeight="1">
      <c r="A45" s="32" t="s">
        <v>19</v>
      </c>
      <c r="B45" s="13"/>
      <c r="C45" s="10"/>
      <c r="D45" s="10"/>
      <c r="F45" s="22"/>
      <c r="G45" s="22"/>
      <c r="H45" s="22"/>
    </row>
    <row r="46" spans="1:14" ht="17.25" customHeight="1">
      <c r="A46" s="10" t="s">
        <v>57</v>
      </c>
      <c r="B46" s="14"/>
      <c r="C46" s="10"/>
      <c r="D46" s="10"/>
      <c r="E46" s="10"/>
      <c r="F46" s="23"/>
      <c r="G46" s="23"/>
      <c r="H46" s="23"/>
      <c r="I46" s="10"/>
      <c r="J46" s="10"/>
      <c r="K46" s="10"/>
      <c r="L46" s="10"/>
      <c r="M46" s="10"/>
      <c r="N46" s="10"/>
    </row>
    <row r="47" spans="1:14" ht="17.25" customHeight="1">
      <c r="A47" s="10" t="s">
        <v>49</v>
      </c>
      <c r="B47" s="14"/>
      <c r="C47" s="10"/>
      <c r="D47" s="10"/>
      <c r="E47" s="10"/>
      <c r="F47" s="23"/>
      <c r="G47" s="23"/>
      <c r="H47" s="23"/>
      <c r="I47" s="10"/>
      <c r="J47" s="10"/>
      <c r="K47" s="10"/>
      <c r="L47" s="10"/>
      <c r="M47" s="10"/>
      <c r="N47" s="10"/>
    </row>
    <row r="48" spans="1:14" ht="17.45" customHeight="1">
      <c r="A48" s="10" t="s">
        <v>58</v>
      </c>
      <c r="B48" s="14"/>
      <c r="C48" s="10"/>
      <c r="D48" s="10"/>
      <c r="E48" s="10" t="s">
        <v>7</v>
      </c>
      <c r="F48" s="48">
        <f>F43</f>
        <v>0</v>
      </c>
      <c r="G48" s="48"/>
      <c r="H48" s="48"/>
      <c r="I48" s="10" t="s">
        <v>13</v>
      </c>
      <c r="J48" s="10"/>
      <c r="K48" s="10"/>
      <c r="L48" s="10"/>
      <c r="M48" s="10"/>
      <c r="N48" s="10"/>
    </row>
    <row r="49" spans="1:14" ht="17.45" customHeight="1">
      <c r="A49" s="10" t="s">
        <v>59</v>
      </c>
      <c r="B49" s="14"/>
      <c r="C49" s="10"/>
      <c r="D49" s="10"/>
      <c r="E49" s="10" t="s">
        <v>7</v>
      </c>
      <c r="F49" s="37" t="s">
        <v>50</v>
      </c>
      <c r="G49" s="6"/>
      <c r="H49" s="6"/>
      <c r="I49" s="10"/>
      <c r="J49" s="10"/>
      <c r="K49" s="10"/>
      <c r="L49" s="10"/>
      <c r="M49" s="10"/>
      <c r="N49" s="10"/>
    </row>
    <row r="50" spans="1:14" ht="17.45" customHeight="1">
      <c r="A50" s="10"/>
      <c r="B50" s="14"/>
      <c r="C50" s="10"/>
      <c r="D50" s="10"/>
      <c r="E50" s="10"/>
      <c r="F50" s="37" t="s">
        <v>51</v>
      </c>
      <c r="G50" s="6"/>
      <c r="H50" s="6"/>
      <c r="I50" s="10"/>
      <c r="J50" s="10"/>
      <c r="K50" s="10"/>
      <c r="L50" s="10"/>
      <c r="M50" s="10"/>
      <c r="N50" s="10"/>
    </row>
    <row r="51" spans="1:14" ht="19.5" customHeight="1">
      <c r="A51" s="10" t="s">
        <v>55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spans="1:14" ht="19.5" customHeight="1">
      <c r="A52" s="10" t="s">
        <v>22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1:14" ht="19.5" customHeight="1">
      <c r="A53" s="10"/>
      <c r="B53" s="43" t="s">
        <v>52</v>
      </c>
      <c r="C53" s="43"/>
      <c r="D53" s="43"/>
      <c r="E53" s="43"/>
      <c r="F53" s="43"/>
      <c r="G53" s="43"/>
      <c r="H53" s="43"/>
      <c r="I53" s="36"/>
      <c r="J53" s="36"/>
      <c r="K53" s="36"/>
      <c r="L53" s="36"/>
      <c r="M53" s="36"/>
      <c r="N53" s="35"/>
    </row>
    <row r="54" spans="1:14" ht="19.5" customHeight="1">
      <c r="A54" s="10"/>
      <c r="B54" s="43" t="s">
        <v>53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35"/>
    </row>
    <row r="55" spans="1:14" ht="19.5" customHeight="1">
      <c r="A55" s="35"/>
      <c r="B55" s="37" t="s">
        <v>54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5"/>
    </row>
    <row r="56" spans="1:14" ht="9" customHeight="1">
      <c r="A56" s="35"/>
      <c r="B56" s="3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5"/>
    </row>
    <row r="57" spans="1:14" ht="17.45" customHeight="1">
      <c r="A57" s="24" t="s">
        <v>21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spans="1:14" ht="18" customHeight="1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1:14" ht="14.45" customHeight="1">
      <c r="A59" s="49" t="s">
        <v>20</v>
      </c>
      <c r="B59" s="49"/>
      <c r="C59" s="49"/>
      <c r="D59" s="49"/>
      <c r="E59" s="49"/>
      <c r="F59" s="49"/>
      <c r="G59" s="50"/>
      <c r="H59" s="51" t="s">
        <v>18</v>
      </c>
      <c r="I59" s="49"/>
      <c r="J59" s="49"/>
      <c r="K59" s="49"/>
      <c r="L59" s="49"/>
      <c r="M59" s="49"/>
      <c r="N59" s="49"/>
    </row>
    <row r="60" spans="1:14" ht="14.45" customHeight="1">
      <c r="A60" s="52" t="s">
        <v>2</v>
      </c>
      <c r="B60" s="52"/>
      <c r="C60" s="52"/>
      <c r="D60" s="52"/>
      <c r="E60" s="52"/>
      <c r="F60" s="52"/>
      <c r="G60" s="53"/>
      <c r="H60" s="54" t="s">
        <v>2</v>
      </c>
      <c r="I60" s="52"/>
      <c r="J60" s="52"/>
      <c r="K60" s="52"/>
      <c r="L60" s="52"/>
      <c r="M60" s="52"/>
      <c r="N60" s="52"/>
    </row>
    <row r="61" spans="1:14">
      <c r="G61" s="11"/>
    </row>
    <row r="62" spans="1:14">
      <c r="G62" s="11"/>
    </row>
    <row r="63" spans="1:14">
      <c r="G63" s="11"/>
    </row>
    <row r="64" spans="1:14">
      <c r="G64" s="11"/>
    </row>
    <row r="65" spans="7:17">
      <c r="G65" s="11"/>
    </row>
    <row r="66" spans="7:17">
      <c r="G66" s="11"/>
    </row>
    <row r="67" spans="7:17">
      <c r="G67" s="11"/>
    </row>
    <row r="68" spans="7:17">
      <c r="G68" s="11"/>
    </row>
    <row r="69" spans="7:17">
      <c r="G69" s="11"/>
    </row>
    <row r="70" spans="7:17">
      <c r="G70" s="11"/>
    </row>
    <row r="71" spans="7:17">
      <c r="Q71" s="1"/>
    </row>
    <row r="72" spans="7:17">
      <c r="Q72" s="1"/>
    </row>
    <row r="73" spans="7:17">
      <c r="Q73" s="1"/>
    </row>
  </sheetData>
  <mergeCells count="18">
    <mergeCell ref="B54:M54"/>
    <mergeCell ref="A59:G59"/>
    <mergeCell ref="H59:N59"/>
    <mergeCell ref="A60:G60"/>
    <mergeCell ref="H60:N60"/>
    <mergeCell ref="A1:D5"/>
    <mergeCell ref="B53:H53"/>
    <mergeCell ref="L7:N7"/>
    <mergeCell ref="A9:N9"/>
    <mergeCell ref="F33:H33"/>
    <mergeCell ref="F35:H35"/>
    <mergeCell ref="F36:H36"/>
    <mergeCell ref="F38:H38"/>
    <mergeCell ref="F39:H39"/>
    <mergeCell ref="F40:H40"/>
    <mergeCell ref="F41:H41"/>
    <mergeCell ref="F43:H43"/>
    <mergeCell ref="F48:H48"/>
  </mergeCells>
  <printOptions horizontalCentered="1"/>
  <pageMargins left="0.47244094488188981" right="7.874015748031496E-2" top="0.55118110236220474" bottom="0.31496062992125984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E223-C1DE-445A-BFD5-B96721AA1B57}">
  <dimension ref="A1:Q73"/>
  <sheetViews>
    <sheetView topLeftCell="A13" zoomScale="110" zoomScaleNormal="110" workbookViewId="0">
      <selection activeCell="A47" sqref="A47"/>
    </sheetView>
  </sheetViews>
  <sheetFormatPr defaultColWidth="6.5703125" defaultRowHeight="15"/>
  <cols>
    <col min="1" max="14" width="8.5703125" style="1" customWidth="1"/>
    <col min="15" max="16" width="6.5703125" style="1"/>
    <col min="17" max="17" width="10.5703125" style="5" customWidth="1"/>
    <col min="18" max="16384" width="6.5703125" style="1"/>
  </cols>
  <sheetData>
    <row r="1" spans="1:17" ht="18.75">
      <c r="A1" s="41" t="e" vm="1">
        <v>#VALUE!</v>
      </c>
      <c r="B1" s="41"/>
      <c r="C1" s="41"/>
      <c r="D1" s="41"/>
      <c r="E1" s="3" t="s">
        <v>45</v>
      </c>
      <c r="Q1" s="1"/>
    </row>
    <row r="2" spans="1:17" ht="15.75" customHeight="1">
      <c r="A2" s="41"/>
      <c r="B2" s="41"/>
      <c r="C2" s="41"/>
      <c r="D2" s="41"/>
      <c r="E2" s="1" t="s">
        <v>40</v>
      </c>
      <c r="Q2" s="1"/>
    </row>
    <row r="3" spans="1:17" ht="15.75" customHeight="1">
      <c r="A3" s="41"/>
      <c r="B3" s="41"/>
      <c r="C3" s="41"/>
      <c r="D3" s="41"/>
      <c r="E3" s="1" t="s">
        <v>41</v>
      </c>
      <c r="Q3" s="1"/>
    </row>
    <row r="4" spans="1:17" ht="15.75" customHeight="1">
      <c r="A4" s="41"/>
      <c r="B4" s="41"/>
      <c r="C4" s="41"/>
      <c r="D4" s="41"/>
      <c r="E4" s="1" t="s">
        <v>42</v>
      </c>
      <c r="I4" s="8"/>
      <c r="Q4" s="1"/>
    </row>
    <row r="5" spans="1:17" ht="15.75" customHeight="1" thickBot="1">
      <c r="A5" s="42"/>
      <c r="B5" s="42"/>
      <c r="C5" s="42"/>
      <c r="D5" s="42"/>
      <c r="E5" s="4" t="s">
        <v>43</v>
      </c>
      <c r="F5" s="4"/>
      <c r="G5" s="4"/>
      <c r="H5" s="4"/>
      <c r="I5" s="9" t="s">
        <v>44</v>
      </c>
      <c r="J5" s="4"/>
      <c r="K5" s="4"/>
      <c r="L5" s="4"/>
      <c r="M5" s="4"/>
      <c r="N5" s="4"/>
      <c r="Q5" s="1"/>
    </row>
    <row r="6" spans="1:17" ht="14.45" customHeight="1">
      <c r="K6" s="7" t="s">
        <v>1</v>
      </c>
      <c r="L6" s="38" t="s">
        <v>24</v>
      </c>
      <c r="M6" s="1" t="s">
        <v>56</v>
      </c>
    </row>
    <row r="7" spans="1:17">
      <c r="K7" s="7" t="s">
        <v>0</v>
      </c>
      <c r="L7" s="44">
        <v>46031</v>
      </c>
      <c r="M7" s="44"/>
      <c r="N7" s="44"/>
    </row>
    <row r="8" spans="1:17" ht="6.75" customHeight="1">
      <c r="K8" s="7"/>
      <c r="L8" s="12"/>
      <c r="M8" s="12"/>
      <c r="N8" s="12"/>
    </row>
    <row r="9" spans="1:17" ht="23.25" customHeight="1">
      <c r="A9" s="45" t="s">
        <v>11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0"/>
    </row>
    <row r="10" spans="1:17" ht="7.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40"/>
    </row>
    <row r="11" spans="1:17" ht="15.75">
      <c r="A11" s="28" t="s">
        <v>31</v>
      </c>
      <c r="B11" s="15"/>
      <c r="C11" s="15"/>
    </row>
    <row r="12" spans="1:17" ht="15.75">
      <c r="A12" s="28" t="s">
        <v>32</v>
      </c>
      <c r="B12" s="15"/>
      <c r="C12" s="15"/>
    </row>
    <row r="13" spans="1:17" ht="15.75">
      <c r="A13" s="28" t="s">
        <v>9</v>
      </c>
      <c r="B13" s="15"/>
      <c r="C13" s="15"/>
    </row>
    <row r="14" spans="1:17" ht="6.75" customHeight="1">
      <c r="A14" s="15"/>
      <c r="B14" s="15"/>
      <c r="C14" s="15"/>
    </row>
    <row r="15" spans="1:17" ht="15.75">
      <c r="A15" s="16" t="s">
        <v>33</v>
      </c>
      <c r="B15" s="15"/>
      <c r="C15" s="15"/>
    </row>
    <row r="16" spans="1:17" ht="4.5" customHeight="1">
      <c r="A16" s="16"/>
      <c r="B16" s="15"/>
      <c r="C16" s="15"/>
    </row>
    <row r="17" spans="1:17" ht="15.75">
      <c r="A17" s="29" t="s">
        <v>3</v>
      </c>
      <c r="B17" s="15"/>
      <c r="C17" s="15"/>
      <c r="D17" s="2" t="s">
        <v>37</v>
      </c>
      <c r="J17" s="2"/>
      <c r="K17" s="2" t="s">
        <v>38</v>
      </c>
      <c r="L17" s="10"/>
      <c r="M17" s="10"/>
      <c r="N17" s="10"/>
    </row>
    <row r="18" spans="1:17" ht="15.75">
      <c r="A18" s="30" t="s">
        <v>30</v>
      </c>
      <c r="B18" s="16"/>
      <c r="C18" s="16"/>
      <c r="D18" s="10" t="s">
        <v>39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15.75">
      <c r="A19" s="16"/>
      <c r="B19" s="16"/>
      <c r="C19" s="16"/>
      <c r="D19" s="16" t="s">
        <v>42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15.75">
      <c r="A20" s="30" t="s">
        <v>5</v>
      </c>
      <c r="B20" s="16"/>
      <c r="C20" s="16"/>
      <c r="D20" s="10" t="s">
        <v>46</v>
      </c>
      <c r="E20" s="10"/>
      <c r="F20" s="10"/>
      <c r="G20" s="10"/>
      <c r="H20" s="10" t="s">
        <v>8</v>
      </c>
      <c r="I20" s="10" t="s">
        <v>47</v>
      </c>
      <c r="J20" s="10"/>
      <c r="K20" s="10"/>
      <c r="L20" s="10"/>
      <c r="M20" s="10"/>
      <c r="N20" s="10"/>
      <c r="O20" s="10"/>
      <c r="P20" s="10"/>
      <c r="Q20" s="10"/>
    </row>
    <row r="21" spans="1:17" ht="15.75">
      <c r="A21" s="30" t="s">
        <v>6</v>
      </c>
      <c r="B21" s="16"/>
      <c r="C21" s="16"/>
      <c r="D21" s="10" t="s">
        <v>7</v>
      </c>
      <c r="E21" s="10"/>
      <c r="F21" s="10"/>
      <c r="G21" s="10"/>
      <c r="H21" s="10" t="s">
        <v>8</v>
      </c>
      <c r="I21" s="10" t="s">
        <v>7</v>
      </c>
      <c r="J21" s="10"/>
      <c r="K21" s="10"/>
      <c r="L21" s="10"/>
      <c r="M21" s="10"/>
      <c r="N21" s="10"/>
      <c r="O21" s="10"/>
      <c r="P21" s="10"/>
      <c r="Q21" s="10"/>
    </row>
    <row r="22" spans="1:17" ht="15.75">
      <c r="A22" s="30"/>
      <c r="B22" s="16"/>
      <c r="C22" s="16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15.75">
      <c r="A23" s="29" t="s">
        <v>10</v>
      </c>
      <c r="B23" s="15"/>
      <c r="C23" s="15"/>
      <c r="D23" s="2" t="s">
        <v>62</v>
      </c>
      <c r="J23" s="2"/>
      <c r="K23" s="2" t="s">
        <v>38</v>
      </c>
      <c r="L23" s="10"/>
      <c r="M23" s="10"/>
      <c r="N23" s="10"/>
      <c r="O23" s="10"/>
      <c r="P23" s="10"/>
      <c r="Q23" s="10"/>
    </row>
    <row r="24" spans="1:17" ht="15.75">
      <c r="A24" s="30" t="s">
        <v>4</v>
      </c>
      <c r="B24" s="16"/>
      <c r="C24" s="16"/>
      <c r="D24" s="10" t="s">
        <v>36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15.75">
      <c r="A25" s="16"/>
      <c r="B25" s="16"/>
      <c r="C25" s="16"/>
      <c r="D25" s="16" t="s">
        <v>25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15.75">
      <c r="A26" s="30" t="s">
        <v>5</v>
      </c>
      <c r="B26" s="16"/>
      <c r="C26" s="16"/>
      <c r="D26" s="39" t="s">
        <v>26</v>
      </c>
      <c r="E26" s="39"/>
      <c r="F26" s="39" t="s">
        <v>27</v>
      </c>
      <c r="G26" s="39"/>
      <c r="H26" s="10" t="s">
        <v>8</v>
      </c>
      <c r="I26" s="39" t="s">
        <v>26</v>
      </c>
      <c r="J26" s="39"/>
      <c r="K26" s="39" t="s">
        <v>27</v>
      </c>
      <c r="L26" s="39"/>
      <c r="M26" s="10"/>
      <c r="N26" s="10"/>
      <c r="O26" s="10"/>
      <c r="P26" s="10"/>
      <c r="Q26" s="10"/>
    </row>
    <row r="27" spans="1:17" ht="15.75">
      <c r="A27" s="30" t="s">
        <v>6</v>
      </c>
      <c r="B27" s="16"/>
      <c r="C27" s="16"/>
      <c r="D27" s="39" t="s">
        <v>26</v>
      </c>
      <c r="E27" s="39"/>
      <c r="F27" s="39" t="s">
        <v>27</v>
      </c>
      <c r="G27" s="39"/>
      <c r="H27" s="10" t="s">
        <v>8</v>
      </c>
      <c r="I27" s="39" t="s">
        <v>26</v>
      </c>
      <c r="J27" s="39"/>
      <c r="K27" s="39" t="s">
        <v>27</v>
      </c>
      <c r="L27" s="39"/>
      <c r="M27" s="10"/>
      <c r="N27" s="10"/>
      <c r="O27" s="10"/>
      <c r="P27" s="10"/>
      <c r="Q27" s="10"/>
    </row>
    <row r="28" spans="1:17" ht="7.5" customHeight="1">
      <c r="A28" s="30"/>
      <c r="B28" s="16"/>
      <c r="C28" s="16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ht="8.1" customHeight="1">
      <c r="A29" s="30"/>
      <c r="B29" s="16"/>
      <c r="C29" s="16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15.75">
      <c r="A30" s="18" t="s">
        <v>48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ht="9" customHeight="1">
      <c r="A31" s="10"/>
      <c r="B31" s="10"/>
      <c r="C31" s="10"/>
      <c r="D31" s="10"/>
      <c r="E31" s="10"/>
      <c r="F31" s="10"/>
      <c r="G31" s="10"/>
      <c r="H31" s="34"/>
      <c r="I31" s="10"/>
      <c r="J31" s="10"/>
      <c r="K31" s="10"/>
      <c r="L31" s="10"/>
      <c r="M31" s="10"/>
      <c r="N31" s="10"/>
      <c r="O31" s="10"/>
      <c r="P31" s="10"/>
      <c r="Q31" s="10"/>
    </row>
    <row r="32" spans="1:17" s="10" customFormat="1" ht="17.45" customHeight="1">
      <c r="A32" s="31" t="s">
        <v>12</v>
      </c>
    </row>
    <row r="33" spans="1:14" s="10" customFormat="1" ht="17.45" customHeight="1">
      <c r="A33" s="17"/>
      <c r="B33" s="6" t="s">
        <v>60</v>
      </c>
      <c r="E33" s="10" t="s">
        <v>7</v>
      </c>
      <c r="F33" s="46"/>
      <c r="G33" s="46"/>
      <c r="H33" s="46"/>
      <c r="I33" s="6" t="s">
        <v>13</v>
      </c>
    </row>
    <row r="34" spans="1:14" s="10" customFormat="1" ht="17.45" hidden="1" customHeight="1">
      <c r="A34" s="17"/>
      <c r="B34" s="19" t="s">
        <v>16</v>
      </c>
      <c r="F34" s="21"/>
      <c r="G34" s="21"/>
      <c r="H34" s="21"/>
    </row>
    <row r="35" spans="1:14" s="10" customFormat="1" ht="17.45" hidden="1" customHeight="1">
      <c r="A35" s="17"/>
      <c r="B35" s="20" t="s">
        <v>15</v>
      </c>
      <c r="E35" s="10" t="s">
        <v>7</v>
      </c>
      <c r="F35" s="47">
        <v>0</v>
      </c>
      <c r="G35" s="47"/>
      <c r="H35" s="47"/>
      <c r="I35" s="10" t="s">
        <v>13</v>
      </c>
    </row>
    <row r="36" spans="1:14" s="10" customFormat="1" ht="17.45" hidden="1" customHeight="1">
      <c r="A36" s="17"/>
      <c r="B36" s="20" t="s">
        <v>17</v>
      </c>
      <c r="E36" s="10" t="s">
        <v>7</v>
      </c>
      <c r="F36" s="47">
        <v>0</v>
      </c>
      <c r="G36" s="47"/>
      <c r="H36" s="47"/>
      <c r="I36" s="10" t="s">
        <v>13</v>
      </c>
    </row>
    <row r="37" spans="1:14" s="10" customFormat="1" ht="17.45" customHeight="1">
      <c r="A37" s="31" t="s">
        <v>14</v>
      </c>
      <c r="F37" s="23"/>
      <c r="G37" s="23"/>
      <c r="H37" s="23"/>
    </row>
    <row r="38" spans="1:14" s="10" customFormat="1" ht="17.45" customHeight="1">
      <c r="A38" s="17"/>
      <c r="B38" s="6" t="s">
        <v>28</v>
      </c>
      <c r="E38" s="10" t="s">
        <v>7</v>
      </c>
      <c r="F38" s="48"/>
      <c r="G38" s="48"/>
      <c r="H38" s="48"/>
      <c r="I38" s="6" t="s">
        <v>13</v>
      </c>
    </row>
    <row r="39" spans="1:14" s="10" customFormat="1" ht="17.45" hidden="1" customHeight="1">
      <c r="A39" s="17"/>
      <c r="B39" s="20" t="s">
        <v>15</v>
      </c>
      <c r="E39" s="10" t="s">
        <v>7</v>
      </c>
      <c r="F39" s="47">
        <v>56001171083</v>
      </c>
      <c r="G39" s="47"/>
      <c r="H39" s="47"/>
      <c r="I39" s="10" t="s">
        <v>13</v>
      </c>
    </row>
    <row r="40" spans="1:14" s="10" customFormat="1" ht="17.45" hidden="1" customHeight="1">
      <c r="A40" s="17"/>
      <c r="B40" s="20" t="s">
        <v>17</v>
      </c>
      <c r="E40" s="10" t="s">
        <v>7</v>
      </c>
      <c r="F40" s="47">
        <v>0</v>
      </c>
      <c r="G40" s="47"/>
      <c r="H40" s="47"/>
      <c r="I40" s="10" t="s">
        <v>13</v>
      </c>
    </row>
    <row r="41" spans="1:14" s="6" customFormat="1" ht="17.45" customHeight="1">
      <c r="A41" s="31"/>
      <c r="B41" s="6" t="s">
        <v>29</v>
      </c>
      <c r="E41" s="6" t="s">
        <v>7</v>
      </c>
      <c r="F41" s="48"/>
      <c r="G41" s="48"/>
      <c r="H41" s="48"/>
      <c r="I41" s="6" t="s">
        <v>13</v>
      </c>
    </row>
    <row r="42" spans="1:14" s="10" customFormat="1" ht="17.45" customHeight="1">
      <c r="A42" s="31" t="s">
        <v>23</v>
      </c>
      <c r="B42" s="14"/>
      <c r="F42" s="23"/>
      <c r="G42" s="23"/>
      <c r="H42" s="23"/>
    </row>
    <row r="43" spans="1:14" s="10" customFormat="1" ht="17.45" customHeight="1">
      <c r="A43" s="17"/>
      <c r="B43" s="6" t="s">
        <v>61</v>
      </c>
      <c r="E43" s="10" t="s">
        <v>7</v>
      </c>
      <c r="F43" s="46">
        <f>(F33-F38+F41)</f>
        <v>0</v>
      </c>
      <c r="G43" s="46"/>
      <c r="H43" s="46"/>
      <c r="I43" s="6" t="s">
        <v>13</v>
      </c>
    </row>
    <row r="44" spans="1:14" ht="8.25" customHeight="1">
      <c r="A44" s="7"/>
      <c r="B44" s="13"/>
      <c r="C44" s="10"/>
      <c r="D44" s="10"/>
      <c r="F44" s="22"/>
      <c r="G44" s="22"/>
      <c r="H44" s="22"/>
    </row>
    <row r="45" spans="1:14" ht="17.45" customHeight="1">
      <c r="A45" s="32" t="s">
        <v>19</v>
      </c>
      <c r="B45" s="13"/>
      <c r="C45" s="10"/>
      <c r="D45" s="10"/>
      <c r="F45" s="22"/>
      <c r="G45" s="22"/>
      <c r="H45" s="22"/>
    </row>
    <row r="46" spans="1:14" ht="17.25" customHeight="1">
      <c r="A46" s="10" t="s">
        <v>63</v>
      </c>
      <c r="B46" s="14"/>
      <c r="C46" s="10"/>
      <c r="D46" s="10"/>
      <c r="E46" s="10"/>
      <c r="F46" s="23"/>
      <c r="G46" s="23"/>
      <c r="H46" s="23"/>
      <c r="I46" s="10"/>
      <c r="J46" s="10"/>
      <c r="K46" s="10"/>
      <c r="L46" s="10"/>
      <c r="M46" s="10"/>
      <c r="N46" s="10"/>
    </row>
    <row r="47" spans="1:14" ht="17.25" customHeight="1">
      <c r="A47" s="10" t="s">
        <v>49</v>
      </c>
      <c r="B47" s="14"/>
      <c r="C47" s="10"/>
      <c r="D47" s="10"/>
      <c r="E47" s="10"/>
      <c r="F47" s="23"/>
      <c r="G47" s="23"/>
      <c r="H47" s="23"/>
      <c r="I47" s="10"/>
      <c r="J47" s="10"/>
      <c r="K47" s="10"/>
      <c r="L47" s="10"/>
      <c r="M47" s="10"/>
      <c r="N47" s="10"/>
    </row>
    <row r="48" spans="1:14" ht="17.45" customHeight="1">
      <c r="A48" s="10" t="s">
        <v>58</v>
      </c>
      <c r="B48" s="14"/>
      <c r="C48" s="10"/>
      <c r="D48" s="10"/>
      <c r="E48" s="10" t="s">
        <v>7</v>
      </c>
      <c r="F48" s="48">
        <f>F43</f>
        <v>0</v>
      </c>
      <c r="G48" s="48"/>
      <c r="H48" s="48"/>
      <c r="I48" s="10" t="s">
        <v>13</v>
      </c>
      <c r="J48" s="10"/>
      <c r="K48" s="10"/>
      <c r="L48" s="10"/>
      <c r="M48" s="10"/>
      <c r="N48" s="10"/>
    </row>
    <row r="49" spans="1:14" ht="17.45" customHeight="1">
      <c r="A49" s="10" t="s">
        <v>59</v>
      </c>
      <c r="B49" s="14"/>
      <c r="C49" s="10"/>
      <c r="D49" s="10"/>
      <c r="E49" s="10" t="s">
        <v>7</v>
      </c>
      <c r="F49" s="37" t="s">
        <v>50</v>
      </c>
      <c r="G49" s="6"/>
      <c r="H49" s="6"/>
      <c r="I49" s="10"/>
      <c r="J49" s="10"/>
      <c r="K49" s="10"/>
      <c r="L49" s="10"/>
      <c r="M49" s="10"/>
      <c r="N49" s="10"/>
    </row>
    <row r="50" spans="1:14" ht="17.45" customHeight="1">
      <c r="A50" s="10"/>
      <c r="B50" s="14"/>
      <c r="C50" s="10"/>
      <c r="D50" s="10"/>
      <c r="E50" s="10"/>
      <c r="F50" s="37" t="s">
        <v>51</v>
      </c>
      <c r="G50" s="6"/>
      <c r="H50" s="6"/>
      <c r="I50" s="10"/>
      <c r="J50" s="10"/>
      <c r="K50" s="10"/>
      <c r="L50" s="10"/>
      <c r="M50" s="10"/>
      <c r="N50" s="10"/>
    </row>
    <row r="51" spans="1:14" ht="19.5" customHeight="1">
      <c r="A51" s="10" t="s">
        <v>55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spans="1:14" ht="19.5" customHeight="1">
      <c r="A52" s="10" t="s">
        <v>22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1:14" ht="19.5" customHeight="1">
      <c r="A53" s="10"/>
      <c r="B53" s="43" t="s">
        <v>52</v>
      </c>
      <c r="C53" s="43"/>
      <c r="D53" s="43"/>
      <c r="E53" s="43"/>
      <c r="F53" s="43"/>
      <c r="G53" s="43"/>
      <c r="H53" s="43"/>
      <c r="I53" s="36"/>
      <c r="J53" s="36"/>
      <c r="K53" s="36"/>
      <c r="L53" s="36"/>
      <c r="M53" s="36"/>
      <c r="N53" s="35"/>
    </row>
    <row r="54" spans="1:14" ht="19.5" customHeight="1">
      <c r="A54" s="10"/>
      <c r="B54" s="43" t="s">
        <v>53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35"/>
    </row>
    <row r="55" spans="1:14" ht="19.5" customHeight="1">
      <c r="A55" s="35"/>
      <c r="B55" s="37" t="s">
        <v>54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5"/>
    </row>
    <row r="56" spans="1:14" ht="9" customHeight="1">
      <c r="A56" s="35"/>
      <c r="B56" s="3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5"/>
    </row>
    <row r="57" spans="1:14" ht="17.45" customHeight="1">
      <c r="A57" s="24" t="s">
        <v>21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spans="1:14" ht="18" customHeight="1">
      <c r="A58" s="26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1:14" ht="14.45" customHeight="1">
      <c r="A59" s="49" t="s">
        <v>20</v>
      </c>
      <c r="B59" s="49"/>
      <c r="C59" s="49"/>
      <c r="D59" s="49"/>
      <c r="E59" s="49"/>
      <c r="F59" s="49"/>
      <c r="G59" s="50"/>
      <c r="H59" s="51" t="s">
        <v>18</v>
      </c>
      <c r="I59" s="49"/>
      <c r="J59" s="49"/>
      <c r="K59" s="49"/>
      <c r="L59" s="49"/>
      <c r="M59" s="49"/>
      <c r="N59" s="49"/>
    </row>
    <row r="60" spans="1:14" ht="14.45" customHeight="1">
      <c r="A60" s="52" t="s">
        <v>2</v>
      </c>
      <c r="B60" s="52"/>
      <c r="C60" s="52"/>
      <c r="D60" s="52"/>
      <c r="E60" s="52"/>
      <c r="F60" s="52"/>
      <c r="G60" s="53"/>
      <c r="H60" s="54" t="s">
        <v>2</v>
      </c>
      <c r="I60" s="52"/>
      <c r="J60" s="52"/>
      <c r="K60" s="52"/>
      <c r="L60" s="52"/>
      <c r="M60" s="52"/>
      <c r="N60" s="52"/>
    </row>
    <row r="61" spans="1:14">
      <c r="G61" s="11"/>
    </row>
    <row r="62" spans="1:14">
      <c r="G62" s="11"/>
    </row>
    <row r="63" spans="1:14">
      <c r="G63" s="11"/>
    </row>
    <row r="64" spans="1:14">
      <c r="G64" s="11"/>
    </row>
    <row r="65" spans="7:17">
      <c r="G65" s="11"/>
    </row>
    <row r="66" spans="7:17">
      <c r="G66" s="11"/>
    </row>
    <row r="67" spans="7:17">
      <c r="G67" s="11"/>
    </row>
    <row r="68" spans="7:17">
      <c r="G68" s="11"/>
    </row>
    <row r="69" spans="7:17">
      <c r="G69" s="11"/>
    </row>
    <row r="70" spans="7:17">
      <c r="G70" s="11"/>
    </row>
    <row r="71" spans="7:17">
      <c r="Q71" s="1"/>
    </row>
    <row r="72" spans="7:17">
      <c r="Q72" s="1"/>
    </row>
    <row r="73" spans="7:17">
      <c r="Q73" s="1"/>
    </row>
  </sheetData>
  <mergeCells count="18">
    <mergeCell ref="B53:H53"/>
    <mergeCell ref="B54:M54"/>
    <mergeCell ref="A59:G59"/>
    <mergeCell ref="H59:N59"/>
    <mergeCell ref="A60:G60"/>
    <mergeCell ref="H60:N60"/>
    <mergeCell ref="F38:H38"/>
    <mergeCell ref="F39:H39"/>
    <mergeCell ref="F40:H40"/>
    <mergeCell ref="F41:H41"/>
    <mergeCell ref="F43:H43"/>
    <mergeCell ref="F48:H48"/>
    <mergeCell ref="A1:D5"/>
    <mergeCell ref="L7:N7"/>
    <mergeCell ref="A9:N9"/>
    <mergeCell ref="F33:H33"/>
    <mergeCell ref="F35:H35"/>
    <mergeCell ref="F36:H36"/>
  </mergeCells>
  <printOptions horizontalCentered="1"/>
  <pageMargins left="0.47244094488188981" right="7.874015748031496E-2" top="0.55118110236220474" bottom="0.31496062992125984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NCC 331</vt:lpstr>
      <vt:lpstr>KH 131</vt:lpstr>
      <vt:lpstr>'KH 131'!Print_Area</vt:lpstr>
      <vt:lpstr>'NCC 331'!Print_Area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Thị Thu Hà</cp:lastModifiedBy>
  <cp:lastPrinted>2026-09-11T02:17:27Z</cp:lastPrinted>
  <dcterms:created xsi:type="dcterms:W3CDTF">2015-09-22T04:23:44Z</dcterms:created>
  <dcterms:modified xsi:type="dcterms:W3CDTF">2026-09-11T02:18:41Z</dcterms:modified>
</cp:coreProperties>
</file>